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209" documentId="8_{D722567B-B670-45DC-9021-E82F214E367F}" xr6:coauthVersionLast="47" xr6:coauthVersionMax="47" xr10:uidLastSave="{76AF0045-1071-481A-BD7B-199C34C62169}"/>
  <bookViews>
    <workbookView xWindow="-108" yWindow="-108" windowWidth="23256" windowHeight="12456" activeTab="2" xr2:uid="{EBC6E53B-F21D-41E4-80DC-D9E14FE6F1A0}"/>
  </bookViews>
  <sheets>
    <sheet name="result" sheetId="1" r:id="rId1"/>
    <sheet name="conditions" sheetId="2" r:id="rId2"/>
    <sheet name="if &amp; if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O3" i="3"/>
  <c r="O4" i="3"/>
  <c r="O5" i="3"/>
  <c r="O6" i="3"/>
  <c r="O2" i="3"/>
  <c r="H13" i="3"/>
  <c r="H14" i="3"/>
  <c r="H15" i="3"/>
  <c r="H16" i="3"/>
  <c r="H12" i="3"/>
  <c r="I2" i="3"/>
  <c r="I3" i="3"/>
  <c r="I4" i="3"/>
  <c r="I5" i="3"/>
  <c r="I6" i="3"/>
  <c r="C13" i="3" a="1"/>
  <c r="C13" i="3" s="1"/>
  <c r="C14" i="3" a="1"/>
  <c r="C14" i="3" s="1"/>
  <c r="C15" i="3" a="1"/>
  <c r="C15" i="3" s="1"/>
  <c r="C16" i="3" a="1"/>
  <c r="C16" i="3"/>
  <c r="C12" i="3" a="1"/>
  <c r="C12" i="3" s="1"/>
  <c r="C3" i="3"/>
  <c r="C4" i="3"/>
  <c r="C5" i="3"/>
  <c r="C6" i="3"/>
  <c r="I3" i="2"/>
  <c r="I4" i="2"/>
  <c r="I5" i="2"/>
  <c r="I6" i="2"/>
  <c r="I7" i="2"/>
  <c r="I8" i="2"/>
  <c r="I9" i="2"/>
  <c r="I10" i="2"/>
  <c r="I11" i="2"/>
  <c r="I2" i="2"/>
  <c r="G2" i="2" a="1"/>
  <c r="G2" i="2" s="1"/>
  <c r="H3" i="2"/>
  <c r="H4" i="2"/>
  <c r="H5" i="2"/>
  <c r="H6" i="2"/>
  <c r="H7" i="2"/>
  <c r="H8" i="2"/>
  <c r="H9" i="2"/>
  <c r="H10" i="2"/>
  <c r="H11" i="2"/>
  <c r="H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G3" i="2" a="1"/>
  <c r="G3" i="2" s="1"/>
  <c r="G4" i="2" a="1"/>
  <c r="G4" i="2" s="1"/>
  <c r="G5" i="2" a="1"/>
  <c r="G5" i="2"/>
  <c r="G6" i="2" a="1"/>
  <c r="G6" i="2" s="1"/>
  <c r="G7" i="2" a="1"/>
  <c r="G7" i="2" s="1"/>
  <c r="G8" i="2" a="1"/>
  <c r="G8" i="2"/>
  <c r="G9" i="2" a="1"/>
  <c r="G9" i="2"/>
  <c r="G10" i="2" a="1"/>
  <c r="G10" i="2"/>
  <c r="G11" i="2" a="1"/>
  <c r="G11" i="2" s="1"/>
  <c r="R2" i="1" a="1"/>
  <c r="R2" i="1" s="1"/>
  <c r="R3" i="1" a="1"/>
  <c r="R3" i="1" s="1"/>
  <c r="R4" i="1" a="1"/>
  <c r="R4" i="1" s="1"/>
  <c r="R5" i="1" a="1"/>
  <c r="R5" i="1"/>
  <c r="R6" i="1" a="1"/>
  <c r="R6" i="1"/>
  <c r="R7" i="1" a="1"/>
  <c r="R7" i="1" s="1"/>
  <c r="R8" i="1" a="1"/>
  <c r="R8" i="1" s="1"/>
  <c r="R9" i="1" a="1"/>
  <c r="R9" i="1"/>
  <c r="R10" i="1" a="1"/>
  <c r="R10" i="1" s="1"/>
  <c r="R11" i="1" a="1"/>
  <c r="R11" i="1"/>
  <c r="P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S21" i="1"/>
  <c r="S20" i="1"/>
  <c r="S19" i="1"/>
  <c r="S18" i="1"/>
  <c r="D15" i="1"/>
  <c r="E15" i="1"/>
  <c r="F15" i="1"/>
  <c r="G15" i="1"/>
  <c r="C15" i="1"/>
  <c r="D14" i="1"/>
  <c r="E14" i="1"/>
  <c r="F14" i="1"/>
  <c r="G14" i="1"/>
  <c r="C14" i="1"/>
  <c r="D13" i="1"/>
  <c r="E13" i="1"/>
  <c r="F13" i="1"/>
  <c r="G13" i="1"/>
  <c r="C13" i="1"/>
  <c r="D12" i="1"/>
  <c r="E12" i="1"/>
  <c r="F12" i="1"/>
  <c r="G12" i="1"/>
  <c r="C1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5" i="1"/>
  <c r="H6" i="1"/>
  <c r="H7" i="1"/>
  <c r="H8" i="1"/>
  <c r="H9" i="1"/>
  <c r="H10" i="1"/>
  <c r="H11" i="1"/>
  <c r="H4" i="1"/>
  <c r="H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<sst xmlns="http://schemas.openxmlformats.org/spreadsheetml/2006/main" count="102" uniqueCount="53">
  <si>
    <t>s.no</t>
  </si>
  <si>
    <t>name</t>
  </si>
  <si>
    <t>uma</t>
  </si>
  <si>
    <t>payal</t>
  </si>
  <si>
    <t>vishwas</t>
  </si>
  <si>
    <t>vedik</t>
  </si>
  <si>
    <t>komal</t>
  </si>
  <si>
    <t>vijay</t>
  </si>
  <si>
    <t>ram</t>
  </si>
  <si>
    <t>siya</t>
  </si>
  <si>
    <t>gopal</t>
  </si>
  <si>
    <t>vishal</t>
  </si>
  <si>
    <t>hindi</t>
  </si>
  <si>
    <t>eng</t>
  </si>
  <si>
    <t>maths</t>
  </si>
  <si>
    <t>g.k</t>
  </si>
  <si>
    <t>computer</t>
  </si>
  <si>
    <t>total</t>
  </si>
  <si>
    <t>min</t>
  </si>
  <si>
    <t>max</t>
  </si>
  <si>
    <t>avg</t>
  </si>
  <si>
    <t>if</t>
  </si>
  <si>
    <t>comp</t>
  </si>
  <si>
    <t>if/and</t>
  </si>
  <si>
    <t>if/or</t>
  </si>
  <si>
    <t>ifs</t>
  </si>
  <si>
    <t>total bill</t>
  </si>
  <si>
    <t>different product</t>
  </si>
  <si>
    <t>nested if</t>
  </si>
  <si>
    <t>ifs/nested if</t>
  </si>
  <si>
    <t xml:space="preserve">name </t>
  </si>
  <si>
    <t>marks</t>
  </si>
  <si>
    <t>rahul</t>
  </si>
  <si>
    <t>neha</t>
  </si>
  <si>
    <t>amit</t>
  </si>
  <si>
    <t>riya</t>
  </si>
  <si>
    <t>karan</t>
  </si>
  <si>
    <t xml:space="preserve">employee </t>
  </si>
  <si>
    <t>A</t>
  </si>
  <si>
    <t>B</t>
  </si>
  <si>
    <t>C</t>
  </si>
  <si>
    <t>D</t>
  </si>
  <si>
    <t xml:space="preserve">E </t>
  </si>
  <si>
    <t>Salary</t>
  </si>
  <si>
    <t>E</t>
  </si>
  <si>
    <t>Marks</t>
  </si>
  <si>
    <t>sports</t>
  </si>
  <si>
    <t>yes</t>
  </si>
  <si>
    <t>no</t>
  </si>
  <si>
    <t>Employee</t>
  </si>
  <si>
    <t>Sales</t>
  </si>
  <si>
    <t>Name</t>
  </si>
  <si>
    <t>Attendence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</si>
</sst>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4" borderId="2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15D8-FFB1-4135-A3C1-4895A3E68143}">
  <dimension ref="A1:S21"/>
  <sheetViews>
    <sheetView workbookViewId="0">
      <selection activeCell="D19" sqref="D19"/>
    </sheetView>
  </sheetViews>
  <sheetFormatPr defaultRowHeight="14.4" x14ac:dyDescent="0.3"/>
  <sheetData>
    <row r="1" spans="1:18" ht="18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2" t="s">
        <v>21</v>
      </c>
      <c r="M1" s="2" t="s">
        <v>14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 ht="18" x14ac:dyDescent="0.35">
      <c r="A2" s="1">
        <v>1</v>
      </c>
      <c r="B2" s="1" t="s">
        <v>2</v>
      </c>
      <c r="C2" s="1">
        <v>54</v>
      </c>
      <c r="D2" s="1">
        <v>33</v>
      </c>
      <c r="E2" s="1">
        <v>98</v>
      </c>
      <c r="F2" s="1">
        <v>33</v>
      </c>
      <c r="G2" s="1">
        <v>65</v>
      </c>
      <c r="H2" s="1">
        <f>SUM(C2:G2)</f>
        <v>283</v>
      </c>
      <c r="I2" s="1">
        <f>MIN(C2:H2)</f>
        <v>33</v>
      </c>
      <c r="J2" s="1">
        <f>MAX(C2:G2)</f>
        <v>98</v>
      </c>
      <c r="K2" s="1">
        <f>AVERAGE(C2:G2)</f>
        <v>56.6</v>
      </c>
      <c r="L2" t="str">
        <f>IF(K2&gt;60,"true","false")</f>
        <v>false</v>
      </c>
      <c r="M2" t="str">
        <f>IF(E2&gt;50,"pass","fail")</f>
        <v>pass</v>
      </c>
      <c r="N2" t="str">
        <f>IF(D2&gt;40,"pass","fail")</f>
        <v>fail</v>
      </c>
      <c r="O2" t="str">
        <f>IF(G2&gt;80,"pass","fail")</f>
        <v>fail</v>
      </c>
      <c r="P2" t="str">
        <f>IF(AND(C2&gt;33,D2&gt;33,E2&gt;33,F2&gt;33,G2&gt;33),"pass","fail")</f>
        <v>fail</v>
      </c>
      <c r="Q2" t="str">
        <f>IF(OR(C2&gt;33,D2&gt;33,E2&gt;33,F2&gt;33,G2&gt;33),"pass","fail")</f>
        <v>pass</v>
      </c>
      <c r="R2" t="str" cm="1">
        <f t="array" ref="R2">_xlfn.IFS(K2&gt;70,"A",K2&gt;65,"B",K2&lt;60,"FAIL")</f>
        <v>FAIL</v>
      </c>
    </row>
    <row r="3" spans="1:18" ht="18" x14ac:dyDescent="0.35">
      <c r="A3" s="1">
        <v>2</v>
      </c>
      <c r="B3" s="1" t="s">
        <v>3</v>
      </c>
      <c r="C3" s="1">
        <v>82</v>
      </c>
      <c r="D3" s="1">
        <v>55</v>
      </c>
      <c r="E3" s="1">
        <v>66</v>
      </c>
      <c r="F3" s="1">
        <v>45</v>
      </c>
      <c r="G3" s="1">
        <v>49</v>
      </c>
      <c r="H3" s="1">
        <f>SUM(C3:G3)</f>
        <v>297</v>
      </c>
      <c r="I3" s="1">
        <f t="shared" ref="I3:I11" si="0">MIN(C3:H3)</f>
        <v>45</v>
      </c>
      <c r="J3" s="1">
        <f t="shared" ref="J3:J11" si="1">MAX(C3:G3)</f>
        <v>82</v>
      </c>
      <c r="K3" s="1">
        <f t="shared" ref="K3:K11" si="2">AVERAGE(C3:G3)</f>
        <v>59.4</v>
      </c>
      <c r="L3" t="str">
        <f t="shared" ref="L3:L11" si="3">IF(K3&gt;60,"true","false")</f>
        <v>false</v>
      </c>
      <c r="M3" t="str">
        <f t="shared" ref="M3:M11" si="4">IF(E3&gt;50,"pass","fail")</f>
        <v>pass</v>
      </c>
      <c r="N3" t="str">
        <f t="shared" ref="N3:N11" si="5">IF(D3&gt;40,"pass","fail")</f>
        <v>pass</v>
      </c>
      <c r="O3" t="str">
        <f t="shared" ref="O3:O11" si="6">IF(G3&gt;80,"pass","fail")</f>
        <v>fail</v>
      </c>
      <c r="P3" t="str">
        <f t="shared" ref="P3:P11" si="7">IF(AND(C3&gt;33,D3&gt;33,E3&gt;33,F3&gt;33,G3&gt;33),"pass","fail")</f>
        <v>pass</v>
      </c>
      <c r="Q3" t="str">
        <f t="shared" ref="Q3:Q11" si="8">IF(OR(C3&gt;33,D3&gt;33,E3&gt;33,F3&gt;33,G3&gt;33),"pass","fail")</f>
        <v>pass</v>
      </c>
      <c r="R3" t="str" cm="1">
        <f t="array" ref="R3">_xlfn.IFS(K3&gt;70,"A",K3&gt;60,"B",K3&gt;50,"C",K3&lt;50,"FAIL")</f>
        <v>C</v>
      </c>
    </row>
    <row r="4" spans="1:18" ht="18" x14ac:dyDescent="0.35">
      <c r="A4" s="1">
        <v>3</v>
      </c>
      <c r="B4" s="1" t="s">
        <v>4</v>
      </c>
      <c r="C4" s="1">
        <v>54</v>
      </c>
      <c r="D4" s="1">
        <v>70</v>
      </c>
      <c r="E4" s="1">
        <v>31</v>
      </c>
      <c r="F4" s="1">
        <v>54</v>
      </c>
      <c r="G4" s="1">
        <v>76</v>
      </c>
      <c r="H4" s="1">
        <f>SUM(C4:G4)</f>
        <v>285</v>
      </c>
      <c r="I4" s="1">
        <f t="shared" si="0"/>
        <v>31</v>
      </c>
      <c r="J4" s="1">
        <f t="shared" si="1"/>
        <v>76</v>
      </c>
      <c r="K4" s="1">
        <f t="shared" si="2"/>
        <v>57</v>
      </c>
      <c r="L4" t="str">
        <f t="shared" si="3"/>
        <v>false</v>
      </c>
      <c r="M4" t="str">
        <f t="shared" si="4"/>
        <v>fail</v>
      </c>
      <c r="N4" t="str">
        <f t="shared" si="5"/>
        <v>pass</v>
      </c>
      <c r="O4" t="str">
        <f t="shared" si="6"/>
        <v>fail</v>
      </c>
      <c r="P4" t="str">
        <f t="shared" si="7"/>
        <v>fail</v>
      </c>
      <c r="Q4" t="str">
        <f t="shared" si="8"/>
        <v>pass</v>
      </c>
      <c r="R4" t="str" cm="1">
        <f t="array" ref="R4">_xlfn.IFS(K4&gt;70,"A",K4&gt;60,"B",K4&gt;50,"C",K4&lt;50,"FAIL")</f>
        <v>C</v>
      </c>
    </row>
    <row r="5" spans="1:18" ht="18" x14ac:dyDescent="0.35">
      <c r="A5" s="1">
        <v>4</v>
      </c>
      <c r="B5" s="1" t="s">
        <v>5</v>
      </c>
      <c r="C5" s="1">
        <v>60</v>
      </c>
      <c r="D5" s="1">
        <v>78</v>
      </c>
      <c r="E5" s="1">
        <v>77</v>
      </c>
      <c r="F5" s="1">
        <v>96</v>
      </c>
      <c r="G5" s="1">
        <v>68</v>
      </c>
      <c r="H5" s="1">
        <f t="shared" ref="H5:H11" si="9">SUM(C5:G5)</f>
        <v>379</v>
      </c>
      <c r="I5" s="1">
        <f t="shared" si="0"/>
        <v>60</v>
      </c>
      <c r="J5" s="1">
        <f t="shared" si="1"/>
        <v>96</v>
      </c>
      <c r="K5" s="1">
        <f t="shared" si="2"/>
        <v>75.8</v>
      </c>
      <c r="L5" t="str">
        <f t="shared" si="3"/>
        <v>true</v>
      </c>
      <c r="M5" t="str">
        <f t="shared" si="4"/>
        <v>pass</v>
      </c>
      <c r="N5" t="str">
        <f t="shared" si="5"/>
        <v>pass</v>
      </c>
      <c r="O5" t="str">
        <f t="shared" si="6"/>
        <v>fail</v>
      </c>
      <c r="P5" t="str">
        <f t="shared" si="7"/>
        <v>pass</v>
      </c>
      <c r="Q5" t="str">
        <f t="shared" si="8"/>
        <v>pass</v>
      </c>
      <c r="R5" t="str" cm="1">
        <f t="array" ref="R5">_xlfn.IFS(K5&gt;70,"A",K5&gt;60,"B",K5&gt;50,"C",K5&lt;50,"FAIL")</f>
        <v>A</v>
      </c>
    </row>
    <row r="6" spans="1:18" ht="18" x14ac:dyDescent="0.35">
      <c r="A6" s="1">
        <v>5</v>
      </c>
      <c r="B6" s="1" t="s">
        <v>6</v>
      </c>
      <c r="C6" s="1">
        <v>99</v>
      </c>
      <c r="D6" s="1">
        <v>36</v>
      </c>
      <c r="E6" s="1">
        <v>74</v>
      </c>
      <c r="F6" s="1">
        <v>92</v>
      </c>
      <c r="G6" s="1">
        <v>28</v>
      </c>
      <c r="H6" s="1">
        <f t="shared" si="9"/>
        <v>329</v>
      </c>
      <c r="I6" s="1">
        <f t="shared" si="0"/>
        <v>28</v>
      </c>
      <c r="J6" s="1">
        <f t="shared" si="1"/>
        <v>99</v>
      </c>
      <c r="K6" s="1">
        <f t="shared" si="2"/>
        <v>65.8</v>
      </c>
      <c r="L6" t="str">
        <f t="shared" si="3"/>
        <v>true</v>
      </c>
      <c r="M6" t="str">
        <f t="shared" si="4"/>
        <v>pass</v>
      </c>
      <c r="N6" t="str">
        <f t="shared" si="5"/>
        <v>fail</v>
      </c>
      <c r="O6" t="str">
        <f t="shared" si="6"/>
        <v>fail</v>
      </c>
      <c r="P6" t="str">
        <f t="shared" si="7"/>
        <v>fail</v>
      </c>
      <c r="Q6" t="str">
        <f t="shared" si="8"/>
        <v>pass</v>
      </c>
      <c r="R6" t="str" cm="1">
        <f t="array" ref="R6">_xlfn.IFS(K6&gt;70,"A",K6&gt;60,"B",K6&gt;50,"C",K6&lt;50,"FAIL")</f>
        <v>B</v>
      </c>
    </row>
    <row r="7" spans="1:18" ht="18" x14ac:dyDescent="0.35">
      <c r="A7" s="1">
        <v>6</v>
      </c>
      <c r="B7" s="1" t="s">
        <v>7</v>
      </c>
      <c r="C7" s="1">
        <v>25</v>
      </c>
      <c r="D7" s="1">
        <v>66</v>
      </c>
      <c r="E7" s="1">
        <v>84</v>
      </c>
      <c r="F7" s="1">
        <v>57</v>
      </c>
      <c r="G7" s="1">
        <v>94</v>
      </c>
      <c r="H7" s="1">
        <f t="shared" si="9"/>
        <v>326</v>
      </c>
      <c r="I7" s="1">
        <f t="shared" si="0"/>
        <v>25</v>
      </c>
      <c r="J7" s="1">
        <f t="shared" si="1"/>
        <v>94</v>
      </c>
      <c r="K7" s="1">
        <f t="shared" si="2"/>
        <v>65.2</v>
      </c>
      <c r="L7" t="str">
        <f t="shared" si="3"/>
        <v>true</v>
      </c>
      <c r="M7" t="str">
        <f t="shared" si="4"/>
        <v>pass</v>
      </c>
      <c r="N7" t="str">
        <f t="shared" si="5"/>
        <v>pass</v>
      </c>
      <c r="O7" t="str">
        <f t="shared" si="6"/>
        <v>pass</v>
      </c>
      <c r="P7" t="str">
        <f t="shared" si="7"/>
        <v>fail</v>
      </c>
      <c r="Q7" t="str">
        <f t="shared" si="8"/>
        <v>pass</v>
      </c>
      <c r="R7" t="str" cm="1">
        <f t="array" ref="R7">_xlfn.IFS(K7&gt;70,"A",K7&gt;60,"B",K7&gt;50,"C",K7&lt;50,"FAIL")</f>
        <v>B</v>
      </c>
    </row>
    <row r="8" spans="1:18" ht="18" x14ac:dyDescent="0.35">
      <c r="A8" s="1">
        <v>7</v>
      </c>
      <c r="B8" s="1" t="s">
        <v>8</v>
      </c>
      <c r="C8" s="1">
        <v>66</v>
      </c>
      <c r="D8" s="1">
        <v>83</v>
      </c>
      <c r="E8" s="1">
        <v>62</v>
      </c>
      <c r="F8" s="1">
        <v>91</v>
      </c>
      <c r="G8" s="1">
        <v>77</v>
      </c>
      <c r="H8" s="1">
        <f t="shared" si="9"/>
        <v>379</v>
      </c>
      <c r="I8" s="1">
        <f t="shared" si="0"/>
        <v>62</v>
      </c>
      <c r="J8" s="1">
        <f t="shared" si="1"/>
        <v>91</v>
      </c>
      <c r="K8" s="1">
        <f t="shared" si="2"/>
        <v>75.8</v>
      </c>
      <c r="L8" t="str">
        <f t="shared" si="3"/>
        <v>true</v>
      </c>
      <c r="M8" t="str">
        <f t="shared" si="4"/>
        <v>pass</v>
      </c>
      <c r="N8" t="str">
        <f t="shared" si="5"/>
        <v>pass</v>
      </c>
      <c r="O8" t="str">
        <f t="shared" si="6"/>
        <v>fail</v>
      </c>
      <c r="P8" t="str">
        <f t="shared" si="7"/>
        <v>pass</v>
      </c>
      <c r="Q8" t="str">
        <f t="shared" si="8"/>
        <v>pass</v>
      </c>
      <c r="R8" t="str" cm="1">
        <f t="array" ref="R8">_xlfn.IFS(K8&gt;70,"A",K8&gt;60,"B",K8&gt;50,"C",K8&lt;50,"FAIL")</f>
        <v>A</v>
      </c>
    </row>
    <row r="9" spans="1:18" ht="18" x14ac:dyDescent="0.35">
      <c r="A9" s="1">
        <v>8</v>
      </c>
      <c r="B9" s="1" t="s">
        <v>9</v>
      </c>
      <c r="C9" s="1">
        <v>96</v>
      </c>
      <c r="D9" s="1">
        <v>69</v>
      </c>
      <c r="E9" s="1">
        <v>35</v>
      </c>
      <c r="F9" s="1">
        <v>77</v>
      </c>
      <c r="G9" s="1">
        <v>38</v>
      </c>
      <c r="H9" s="1">
        <f t="shared" si="9"/>
        <v>315</v>
      </c>
      <c r="I9" s="1">
        <f t="shared" si="0"/>
        <v>35</v>
      </c>
      <c r="J9" s="1">
        <f t="shared" si="1"/>
        <v>96</v>
      </c>
      <c r="K9" s="1">
        <f t="shared" si="2"/>
        <v>63</v>
      </c>
      <c r="L9" t="str">
        <f t="shared" si="3"/>
        <v>true</v>
      </c>
      <c r="M9" t="str">
        <f t="shared" si="4"/>
        <v>fail</v>
      </c>
      <c r="N9" t="str">
        <f t="shared" si="5"/>
        <v>pass</v>
      </c>
      <c r="O9" t="str">
        <f t="shared" si="6"/>
        <v>fail</v>
      </c>
      <c r="P9" t="str">
        <f t="shared" si="7"/>
        <v>pass</v>
      </c>
      <c r="Q9" t="str">
        <f t="shared" si="8"/>
        <v>pass</v>
      </c>
      <c r="R9" t="str" cm="1">
        <f t="array" ref="R9">_xlfn.IFS(K9&gt;70,"A",K9&gt;60,"B",K9&gt;50,"C",K9&lt;50,"FAIL")</f>
        <v>B</v>
      </c>
    </row>
    <row r="10" spans="1:18" ht="18" x14ac:dyDescent="0.35">
      <c r="A10" s="1">
        <v>9</v>
      </c>
      <c r="B10" s="1" t="s">
        <v>10</v>
      </c>
      <c r="C10" s="1">
        <v>82</v>
      </c>
      <c r="D10" s="1">
        <v>96</v>
      </c>
      <c r="E10" s="1">
        <v>93</v>
      </c>
      <c r="F10" s="1">
        <v>69</v>
      </c>
      <c r="G10" s="1">
        <v>36</v>
      </c>
      <c r="H10" s="1">
        <f t="shared" si="9"/>
        <v>376</v>
      </c>
      <c r="I10" s="1">
        <f t="shared" si="0"/>
        <v>36</v>
      </c>
      <c r="J10" s="1">
        <f t="shared" si="1"/>
        <v>96</v>
      </c>
      <c r="K10" s="1">
        <f t="shared" si="2"/>
        <v>75.2</v>
      </c>
      <c r="L10" t="str">
        <f t="shared" si="3"/>
        <v>true</v>
      </c>
      <c r="M10" t="str">
        <f t="shared" si="4"/>
        <v>pass</v>
      </c>
      <c r="N10" t="str">
        <f t="shared" si="5"/>
        <v>pass</v>
      </c>
      <c r="O10" t="str">
        <f t="shared" si="6"/>
        <v>fail</v>
      </c>
      <c r="P10" t="str">
        <f t="shared" si="7"/>
        <v>pass</v>
      </c>
      <c r="Q10" t="str">
        <f t="shared" si="8"/>
        <v>pass</v>
      </c>
      <c r="R10" t="str" cm="1">
        <f t="array" ref="R10">_xlfn.IFS(K10&gt;70,"A",K10&gt;60,"B",K10&gt;50,"C",K10&lt;50,"FAIL")</f>
        <v>A</v>
      </c>
    </row>
    <row r="11" spans="1:18" ht="18" x14ac:dyDescent="0.35">
      <c r="A11" s="1">
        <v>10</v>
      </c>
      <c r="B11" s="1" t="s">
        <v>11</v>
      </c>
      <c r="C11" s="1">
        <v>51</v>
      </c>
      <c r="D11" s="1">
        <v>96</v>
      </c>
      <c r="E11" s="1">
        <v>63</v>
      </c>
      <c r="F11" s="1">
        <v>51</v>
      </c>
      <c r="G11" s="1">
        <v>51</v>
      </c>
      <c r="H11" s="1">
        <f t="shared" si="9"/>
        <v>312</v>
      </c>
      <c r="I11" s="1">
        <f t="shared" si="0"/>
        <v>51</v>
      </c>
      <c r="J11" s="1">
        <f t="shared" si="1"/>
        <v>96</v>
      </c>
      <c r="K11" s="1">
        <f t="shared" si="2"/>
        <v>62.4</v>
      </c>
      <c r="L11" t="str">
        <f t="shared" si="3"/>
        <v>true</v>
      </c>
      <c r="M11" t="str">
        <f t="shared" si="4"/>
        <v>pass</v>
      </c>
      <c r="N11" t="str">
        <f t="shared" si="5"/>
        <v>pass</v>
      </c>
      <c r="O11" t="str">
        <f t="shared" si="6"/>
        <v>fail</v>
      </c>
      <c r="P11" t="str">
        <f t="shared" si="7"/>
        <v>pass</v>
      </c>
      <c r="Q11" t="str">
        <f t="shared" si="8"/>
        <v>pass</v>
      </c>
      <c r="R11" t="str" cm="1">
        <f t="array" ref="R11">_xlfn.IFS(K11&gt;70,"A",K11&gt;60,"B",K11&gt;50,"C",K11&lt;50,"FAIL")</f>
        <v>B</v>
      </c>
    </row>
    <row r="12" spans="1:18" ht="18" x14ac:dyDescent="0.35">
      <c r="A12" s="1"/>
      <c r="B12" s="1" t="s">
        <v>17</v>
      </c>
      <c r="C12" s="1">
        <f>SUM(C2:C11)</f>
        <v>669</v>
      </c>
      <c r="D12" s="1">
        <f t="shared" ref="D12:G12" si="10">SUM(D2:D11)</f>
        <v>682</v>
      </c>
      <c r="E12" s="1">
        <f t="shared" si="10"/>
        <v>683</v>
      </c>
      <c r="F12" s="1">
        <f t="shared" si="10"/>
        <v>665</v>
      </c>
      <c r="G12" s="1">
        <f t="shared" si="10"/>
        <v>582</v>
      </c>
      <c r="H12" s="1"/>
      <c r="I12" s="1"/>
      <c r="J12" s="1"/>
      <c r="K12" s="1"/>
    </row>
    <row r="13" spans="1:18" ht="18" x14ac:dyDescent="0.35">
      <c r="A13" s="1"/>
      <c r="B13" s="1" t="s">
        <v>18</v>
      </c>
      <c r="C13" s="1">
        <f>MIN(C2:C11)</f>
        <v>25</v>
      </c>
      <c r="D13" s="1">
        <f t="shared" ref="D13:G13" si="11">MIN(D2:D11)</f>
        <v>33</v>
      </c>
      <c r="E13" s="1">
        <f t="shared" si="11"/>
        <v>31</v>
      </c>
      <c r="F13" s="1">
        <f t="shared" si="11"/>
        <v>33</v>
      </c>
      <c r="G13" s="1">
        <f t="shared" si="11"/>
        <v>28</v>
      </c>
      <c r="H13" s="1"/>
      <c r="I13" s="1"/>
      <c r="J13" s="1"/>
      <c r="K13" s="1"/>
    </row>
    <row r="14" spans="1:18" ht="18" x14ac:dyDescent="0.35">
      <c r="A14" s="1"/>
      <c r="B14" s="1" t="s">
        <v>19</v>
      </c>
      <c r="C14" s="1">
        <f>MAX(C2:C11)</f>
        <v>99</v>
      </c>
      <c r="D14" s="1">
        <f t="shared" ref="D14:G14" si="12">MAX(D2:D11)</f>
        <v>96</v>
      </c>
      <c r="E14" s="1">
        <f t="shared" si="12"/>
        <v>98</v>
      </c>
      <c r="F14" s="1">
        <f t="shared" si="12"/>
        <v>96</v>
      </c>
      <c r="G14" s="1">
        <f t="shared" si="12"/>
        <v>94</v>
      </c>
      <c r="H14" s="1"/>
      <c r="I14" s="1"/>
      <c r="J14" s="1"/>
      <c r="K14" s="1"/>
    </row>
    <row r="15" spans="1:18" ht="18" x14ac:dyDescent="0.35">
      <c r="A15" s="1"/>
      <c r="B15" s="1" t="s">
        <v>20</v>
      </c>
      <c r="C15" s="1">
        <f>AVERAGE(C2:C11)</f>
        <v>66.900000000000006</v>
      </c>
      <c r="D15" s="1">
        <f t="shared" ref="D15:G15" si="13">AVERAGE(D2:D11)</f>
        <v>68.2</v>
      </c>
      <c r="E15" s="1">
        <f t="shared" si="13"/>
        <v>68.3</v>
      </c>
      <c r="F15" s="1">
        <f t="shared" si="13"/>
        <v>66.5</v>
      </c>
      <c r="G15" s="1">
        <f t="shared" si="13"/>
        <v>58.2</v>
      </c>
      <c r="H15" s="1"/>
      <c r="I15" s="1"/>
      <c r="J15" s="1"/>
      <c r="K15" s="1"/>
    </row>
    <row r="18" spans="18:19" x14ac:dyDescent="0.3">
      <c r="R18" t="s">
        <v>17</v>
      </c>
      <c r="S18">
        <f>SUM(C2:K15)</f>
        <v>12790.3</v>
      </c>
    </row>
    <row r="19" spans="18:19" x14ac:dyDescent="0.3">
      <c r="R19" t="s">
        <v>18</v>
      </c>
      <c r="S19">
        <f>MIN(C2:K15)</f>
        <v>25</v>
      </c>
    </row>
    <row r="20" spans="18:19" x14ac:dyDescent="0.3">
      <c r="R20" t="s">
        <v>19</v>
      </c>
      <c r="S20">
        <f>MAX(C2:K15)</f>
        <v>683</v>
      </c>
    </row>
    <row r="21" spans="18:19" x14ac:dyDescent="0.3">
      <c r="R21" t="s">
        <v>20</v>
      </c>
      <c r="S21">
        <f>AVERAGE(C2:K15)</f>
        <v>116.27545454545454</v>
      </c>
    </row>
  </sheetData>
  <conditionalFormatting sqref="I15">
    <cfRule type="cellIs" dxfId="1" priority="1" operator="between">
      <formula>33</formula>
      <formula>1000</formula>
    </cfRule>
  </conditionalFormatting>
  <conditionalFormatting sqref="I19">
    <cfRule type="cellIs" dxfId="0" priority="2" operator="between">
      <formula>76</formula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22F1-F76A-4979-A435-690260697888}">
  <dimension ref="A1:I11"/>
  <sheetViews>
    <sheetView workbookViewId="0">
      <selection activeCell="E14" sqref="E14"/>
    </sheetView>
  </sheetViews>
  <sheetFormatPr defaultRowHeight="14.4" x14ac:dyDescent="0.3"/>
  <cols>
    <col min="1" max="1" width="9" bestFit="1" customWidth="1"/>
    <col min="2" max="2" width="11.88671875" customWidth="1"/>
    <col min="3" max="3" width="13.21875" customWidth="1"/>
    <col min="4" max="4" width="21.77734375" customWidth="1"/>
    <col min="5" max="5" width="12.5546875" customWidth="1"/>
    <col min="6" max="6" width="12.21875" customWidth="1"/>
    <col min="7" max="7" width="15.5546875" customWidth="1"/>
    <col min="8" max="8" width="11.77734375" customWidth="1"/>
    <col min="9" max="9" width="13.33203125" customWidth="1"/>
  </cols>
  <sheetData>
    <row r="1" spans="1:9" ht="21" x14ac:dyDescent="0.4">
      <c r="A1" s="4" t="s">
        <v>0</v>
      </c>
      <c r="B1" s="4" t="s">
        <v>1</v>
      </c>
      <c r="C1" s="5" t="s">
        <v>26</v>
      </c>
      <c r="D1" s="5" t="s">
        <v>27</v>
      </c>
      <c r="E1" s="5" t="s">
        <v>21</v>
      </c>
      <c r="F1" s="5" t="s">
        <v>24</v>
      </c>
      <c r="G1" s="5" t="s">
        <v>29</v>
      </c>
      <c r="H1" s="5" t="s">
        <v>23</v>
      </c>
      <c r="I1" s="8" t="s">
        <v>28</v>
      </c>
    </row>
    <row r="2" spans="1:9" ht="21" x14ac:dyDescent="0.4">
      <c r="A2" s="6">
        <v>1</v>
      </c>
      <c r="B2" s="6" t="s">
        <v>2</v>
      </c>
      <c r="C2" s="7">
        <v>250000</v>
      </c>
      <c r="D2" s="7">
        <v>9</v>
      </c>
      <c r="E2" s="7" t="str">
        <f>IF(C2&gt;8000,"10%","0")</f>
        <v>10%</v>
      </c>
      <c r="F2" s="7" t="str">
        <f>IF(OR(C2&gt;10000,D2&gt;7),"20%","0")</f>
        <v>20%</v>
      </c>
      <c r="G2" s="7" t="str" cm="1">
        <f t="array" ref="G2">_xlfn.IFS(C2&gt;20000,"A",C2&gt;10000,"B",C2&lt;10000,"C")</f>
        <v>A</v>
      </c>
      <c r="H2" s="7" t="str">
        <f>IF(AND(C2&gt;20000,D2&gt;10),"30%","0")</f>
        <v>0</v>
      </c>
      <c r="I2" s="3" t="str">
        <f>IF(C2&gt;20000,"A",IF(C2&gt;10000,"B",IF(C2&lt;10000,"C")))</f>
        <v>A</v>
      </c>
    </row>
    <row r="3" spans="1:9" ht="21" x14ac:dyDescent="0.4">
      <c r="A3" s="6">
        <v>2</v>
      </c>
      <c r="B3" s="6" t="s">
        <v>3</v>
      </c>
      <c r="C3" s="7">
        <v>600</v>
      </c>
      <c r="D3" s="7">
        <v>12</v>
      </c>
      <c r="E3" s="7" t="str">
        <f t="shared" ref="E3:E11" si="0">IF(C3&gt;8000,"10%","0")</f>
        <v>0</v>
      </c>
      <c r="F3" s="7" t="str">
        <f t="shared" ref="F3:F11" si="1">IF(OR(C3&gt;10000,D3&gt;7),"20%","0")</f>
        <v>20%</v>
      </c>
      <c r="G3" s="7" t="str" cm="1">
        <f t="array" ref="G3">_xlfn.IFS(C3&gt;20000,"A",C3&gt;10000,"B",C3&lt;10000,"C")</f>
        <v>C</v>
      </c>
      <c r="H3" s="7" t="str">
        <f t="shared" ref="H3:H11" si="2">IF(AND(C3&gt;20000,D3&gt;10),"30%","0")</f>
        <v>0</v>
      </c>
      <c r="I3" s="3" t="str">
        <f t="shared" ref="I3:I11" si="3">IF(C3&gt;20000,"A",IF(C3&gt;10000,"B",IF(C3&lt;10000,"C")))</f>
        <v>C</v>
      </c>
    </row>
    <row r="4" spans="1:9" ht="21" x14ac:dyDescent="0.4">
      <c r="A4" s="6">
        <v>3</v>
      </c>
      <c r="B4" s="6" t="s">
        <v>4</v>
      </c>
      <c r="C4" s="7">
        <v>50345</v>
      </c>
      <c r="D4" s="7">
        <v>13</v>
      </c>
      <c r="E4" s="7" t="str">
        <f t="shared" si="0"/>
        <v>10%</v>
      </c>
      <c r="F4" s="7" t="str">
        <f t="shared" si="1"/>
        <v>20%</v>
      </c>
      <c r="G4" s="7" t="str" cm="1">
        <f t="array" ref="G4">_xlfn.IFS(C4&gt;20000,"A",C4&gt;10000,"B",C4&lt;10000,"C")</f>
        <v>A</v>
      </c>
      <c r="H4" s="7" t="str">
        <f t="shared" si="2"/>
        <v>30%</v>
      </c>
      <c r="I4" s="3" t="str">
        <f t="shared" si="3"/>
        <v>A</v>
      </c>
    </row>
    <row r="5" spans="1:9" ht="21" x14ac:dyDescent="0.4">
      <c r="A5" s="6">
        <v>4</v>
      </c>
      <c r="B5" s="6" t="s">
        <v>5</v>
      </c>
      <c r="C5" s="7">
        <v>214235</v>
      </c>
      <c r="D5" s="7">
        <v>20</v>
      </c>
      <c r="E5" s="7" t="str">
        <f t="shared" si="0"/>
        <v>10%</v>
      </c>
      <c r="F5" s="7" t="str">
        <f t="shared" si="1"/>
        <v>20%</v>
      </c>
      <c r="G5" s="7" t="str" cm="1">
        <f t="array" ref="G5">_xlfn.IFS(C5&gt;20000,"A",C5&gt;10000,"B",C5&lt;10000,"C")</f>
        <v>A</v>
      </c>
      <c r="H5" s="7" t="str">
        <f t="shared" si="2"/>
        <v>30%</v>
      </c>
      <c r="I5" s="3" t="str">
        <f t="shared" si="3"/>
        <v>A</v>
      </c>
    </row>
    <row r="6" spans="1:9" ht="21" x14ac:dyDescent="0.4">
      <c r="A6" s="6">
        <v>5</v>
      </c>
      <c r="B6" s="6" t="s">
        <v>6</v>
      </c>
      <c r="C6" s="7">
        <v>700090</v>
      </c>
      <c r="D6" s="7">
        <v>19</v>
      </c>
      <c r="E6" s="7" t="str">
        <f t="shared" si="0"/>
        <v>10%</v>
      </c>
      <c r="F6" s="7" t="str">
        <f t="shared" si="1"/>
        <v>20%</v>
      </c>
      <c r="G6" s="7" t="str" cm="1">
        <f t="array" ref="G6">_xlfn.IFS(C6&gt;20000,"A",C6&gt;10000,"B",C6&lt;10000,"C")</f>
        <v>A</v>
      </c>
      <c r="H6" s="7" t="str">
        <f t="shared" si="2"/>
        <v>30%</v>
      </c>
      <c r="I6" s="3" t="str">
        <f t="shared" si="3"/>
        <v>A</v>
      </c>
    </row>
    <row r="7" spans="1:9" ht="21" x14ac:dyDescent="0.4">
      <c r="A7" s="6">
        <v>6</v>
      </c>
      <c r="B7" s="6" t="s">
        <v>7</v>
      </c>
      <c r="C7" s="7">
        <v>400050</v>
      </c>
      <c r="D7" s="7">
        <v>20</v>
      </c>
      <c r="E7" s="7" t="str">
        <f t="shared" si="0"/>
        <v>10%</v>
      </c>
      <c r="F7" s="7" t="str">
        <f t="shared" si="1"/>
        <v>20%</v>
      </c>
      <c r="G7" s="7" t="str" cm="1">
        <f t="array" ref="G7">_xlfn.IFS(C7&gt;20000,"A",C7&gt;10000,"B",C7&lt;10000,"C")</f>
        <v>A</v>
      </c>
      <c r="H7" s="7" t="str">
        <f t="shared" si="2"/>
        <v>30%</v>
      </c>
      <c r="I7" s="3" t="str">
        <f t="shared" si="3"/>
        <v>A</v>
      </c>
    </row>
    <row r="8" spans="1:9" ht="21" x14ac:dyDescent="0.4">
      <c r="A8" s="6">
        <v>7</v>
      </c>
      <c r="B8" s="6" t="s">
        <v>8</v>
      </c>
      <c r="C8" s="7">
        <v>8975</v>
      </c>
      <c r="D8" s="7">
        <v>6</v>
      </c>
      <c r="E8" s="7" t="str">
        <f t="shared" si="0"/>
        <v>10%</v>
      </c>
      <c r="F8" s="7" t="str">
        <f t="shared" si="1"/>
        <v>0</v>
      </c>
      <c r="G8" s="7" t="str" cm="1">
        <f t="array" ref="G8">_xlfn.IFS(C8&gt;20000,"A",C8&gt;10000,"B",C8&lt;10000,"C")</f>
        <v>C</v>
      </c>
      <c r="H8" s="7" t="str">
        <f t="shared" si="2"/>
        <v>0</v>
      </c>
      <c r="I8" s="3" t="str">
        <f t="shared" si="3"/>
        <v>C</v>
      </c>
    </row>
    <row r="9" spans="1:9" ht="21" x14ac:dyDescent="0.4">
      <c r="A9" s="6">
        <v>8</v>
      </c>
      <c r="B9" s="6" t="s">
        <v>9</v>
      </c>
      <c r="C9" s="7">
        <v>230960</v>
      </c>
      <c r="D9" s="7">
        <v>13</v>
      </c>
      <c r="E9" s="7" t="str">
        <f t="shared" si="0"/>
        <v>10%</v>
      </c>
      <c r="F9" s="7" t="str">
        <f t="shared" si="1"/>
        <v>20%</v>
      </c>
      <c r="G9" s="7" t="str" cm="1">
        <f t="array" ref="G9">_xlfn.IFS(C9&gt;20000,"A",C9&gt;10000,"B",C9&lt;10000,"C")</f>
        <v>A</v>
      </c>
      <c r="H9" s="7" t="str">
        <f t="shared" si="2"/>
        <v>30%</v>
      </c>
      <c r="I9" s="3" t="str">
        <f t="shared" si="3"/>
        <v>A</v>
      </c>
    </row>
    <row r="10" spans="1:9" ht="21" x14ac:dyDescent="0.4">
      <c r="A10" s="6">
        <v>9</v>
      </c>
      <c r="B10" s="6" t="s">
        <v>10</v>
      </c>
      <c r="C10" s="7">
        <v>4788</v>
      </c>
      <c r="D10" s="7">
        <v>5</v>
      </c>
      <c r="E10" s="7" t="str">
        <f t="shared" si="0"/>
        <v>0</v>
      </c>
      <c r="F10" s="7" t="str">
        <f t="shared" si="1"/>
        <v>0</v>
      </c>
      <c r="G10" s="7" t="str" cm="1">
        <f t="array" ref="G10">_xlfn.IFS(C10&gt;20000,"A",C10&gt;10000,"B",C10&lt;10000,"C")</f>
        <v>C</v>
      </c>
      <c r="H10" s="7" t="str">
        <f t="shared" si="2"/>
        <v>0</v>
      </c>
      <c r="I10" s="3" t="str">
        <f t="shared" si="3"/>
        <v>C</v>
      </c>
    </row>
    <row r="11" spans="1:9" ht="21" x14ac:dyDescent="0.4">
      <c r="A11" s="6">
        <v>10</v>
      </c>
      <c r="B11" s="6" t="s">
        <v>11</v>
      </c>
      <c r="C11" s="7">
        <v>986</v>
      </c>
      <c r="D11" s="7">
        <v>11</v>
      </c>
      <c r="E11" s="7" t="str">
        <f t="shared" si="0"/>
        <v>0</v>
      </c>
      <c r="F11" s="7" t="str">
        <f t="shared" si="1"/>
        <v>20%</v>
      </c>
      <c r="G11" s="7" t="str" cm="1">
        <f t="array" ref="G11">_xlfn.IFS(C11&gt;20000,"A",C11&gt;10000,"B",C11&lt;10000,"C")</f>
        <v>C</v>
      </c>
      <c r="H11" s="7" t="str">
        <f t="shared" si="2"/>
        <v>0</v>
      </c>
      <c r="I11" s="3" t="str">
        <f t="shared" si="3"/>
        <v>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6A9E-E76A-462C-9977-39FA9F699B3E}">
  <dimension ref="A1:O16"/>
  <sheetViews>
    <sheetView tabSelected="1" workbookViewId="0">
      <selection activeCell="D17" sqref="D17"/>
    </sheetView>
  </sheetViews>
  <sheetFormatPr defaultRowHeight="14.4" x14ac:dyDescent="0.3"/>
  <cols>
    <col min="14" max="14" width="10.6640625" customWidth="1"/>
  </cols>
  <sheetData>
    <row r="1" spans="1:15" x14ac:dyDescent="0.3">
      <c r="A1" s="9" t="s">
        <v>30</v>
      </c>
      <c r="B1" s="9" t="s">
        <v>31</v>
      </c>
      <c r="C1" s="9" t="s">
        <v>21</v>
      </c>
      <c r="F1" s="10" t="s">
        <v>1</v>
      </c>
      <c r="G1" s="10" t="s">
        <v>45</v>
      </c>
      <c r="H1" s="10" t="s">
        <v>46</v>
      </c>
      <c r="I1" s="10" t="s">
        <v>24</v>
      </c>
      <c r="L1" s="13" t="s">
        <v>51</v>
      </c>
      <c r="M1" s="13" t="s">
        <v>45</v>
      </c>
      <c r="N1" s="13" t="s">
        <v>52</v>
      </c>
      <c r="O1" s="13" t="s">
        <v>23</v>
      </c>
    </row>
    <row r="2" spans="1:15" x14ac:dyDescent="0.3">
      <c r="A2" s="9" t="s">
        <v>32</v>
      </c>
      <c r="B2" s="9">
        <v>85</v>
      </c>
      <c r="C2" s="9" t="str">
        <f>IF(B2&gt;=50,"pass","fail")</f>
        <v>pass</v>
      </c>
      <c r="F2" s="10" t="s">
        <v>38</v>
      </c>
      <c r="G2" s="10">
        <v>30</v>
      </c>
      <c r="H2" s="10" t="s">
        <v>47</v>
      </c>
      <c r="I2" s="10" t="str">
        <f>IF(OR(G2&gt;=50,H2="yes"),"pass","fail")</f>
        <v>pass</v>
      </c>
      <c r="L2" s="13" t="s">
        <v>38</v>
      </c>
      <c r="M2" s="13">
        <v>80</v>
      </c>
      <c r="N2" s="13">
        <v>90</v>
      </c>
      <c r="O2" s="13" t="str">
        <f>IF(AND(M2&gt;=50,N2&gt;=75),"pass","fail")</f>
        <v>pass</v>
      </c>
    </row>
    <row r="3" spans="1:15" x14ac:dyDescent="0.3">
      <c r="A3" s="9" t="s">
        <v>33</v>
      </c>
      <c r="B3" s="9">
        <v>45</v>
      </c>
      <c r="C3" s="9" t="str">
        <f t="shared" ref="C3:C6" si="0">IF(B3&gt;=50,"pass","fail")</f>
        <v>fail</v>
      </c>
      <c r="F3" s="10" t="s">
        <v>39</v>
      </c>
      <c r="G3" s="10">
        <v>60</v>
      </c>
      <c r="H3" s="10" t="s">
        <v>48</v>
      </c>
      <c r="I3" s="10" t="str">
        <f t="shared" ref="I3:I6" si="1">IF(OR(G3&gt;=50,H3="yes"),"pass","fail")</f>
        <v>pass</v>
      </c>
      <c r="L3" s="13" t="s">
        <v>39</v>
      </c>
      <c r="M3" s="13">
        <v>40</v>
      </c>
      <c r="N3" s="13">
        <v>95</v>
      </c>
      <c r="O3" s="13" t="str">
        <f t="shared" ref="O3:O6" si="2">IF(AND(M3&gt;=50,N3&gt;=75),"pass","fail")</f>
        <v>fail</v>
      </c>
    </row>
    <row r="4" spans="1:15" x14ac:dyDescent="0.3">
      <c r="A4" s="9" t="s">
        <v>34</v>
      </c>
      <c r="B4" s="9">
        <v>60</v>
      </c>
      <c r="C4" s="9" t="str">
        <f t="shared" si="0"/>
        <v>pass</v>
      </c>
      <c r="F4" s="10" t="s">
        <v>40</v>
      </c>
      <c r="G4" s="10">
        <v>40</v>
      </c>
      <c r="H4" s="10" t="s">
        <v>47</v>
      </c>
      <c r="I4" s="10" t="str">
        <f t="shared" si="1"/>
        <v>pass</v>
      </c>
      <c r="L4" s="13" t="s">
        <v>40</v>
      </c>
      <c r="M4" s="13">
        <v>70</v>
      </c>
      <c r="N4" s="13">
        <v>60</v>
      </c>
      <c r="O4" s="13" t="str">
        <f t="shared" si="2"/>
        <v>fail</v>
      </c>
    </row>
    <row r="5" spans="1:15" x14ac:dyDescent="0.3">
      <c r="A5" s="9" t="s">
        <v>35</v>
      </c>
      <c r="B5" s="9">
        <v>30</v>
      </c>
      <c r="C5" s="9" t="str">
        <f t="shared" si="0"/>
        <v>fail</v>
      </c>
      <c r="F5" s="10" t="s">
        <v>41</v>
      </c>
      <c r="G5" s="10">
        <v>80</v>
      </c>
      <c r="H5" s="10" t="s">
        <v>48</v>
      </c>
      <c r="I5" s="10" t="str">
        <f t="shared" si="1"/>
        <v>pass</v>
      </c>
      <c r="L5" s="13" t="s">
        <v>41</v>
      </c>
      <c r="M5" s="13">
        <v>55</v>
      </c>
      <c r="N5" s="13">
        <v>85</v>
      </c>
      <c r="O5" s="13" t="str">
        <f t="shared" si="2"/>
        <v>pass</v>
      </c>
    </row>
    <row r="6" spans="1:15" x14ac:dyDescent="0.3">
      <c r="A6" s="9" t="s">
        <v>36</v>
      </c>
      <c r="B6" s="9">
        <v>75</v>
      </c>
      <c r="C6" s="9" t="str">
        <f t="shared" si="0"/>
        <v>pass</v>
      </c>
      <c r="F6" s="10" t="s">
        <v>44</v>
      </c>
      <c r="G6" s="10">
        <v>20</v>
      </c>
      <c r="H6" s="10" t="s">
        <v>48</v>
      </c>
      <c r="I6" s="10" t="str">
        <f t="shared" si="1"/>
        <v>fail</v>
      </c>
      <c r="L6" s="13" t="s">
        <v>44</v>
      </c>
      <c r="M6" s="13">
        <v>30</v>
      </c>
      <c r="N6" s="13">
        <v>50</v>
      </c>
      <c r="O6" s="13" t="str">
        <f t="shared" si="2"/>
        <v>fail</v>
      </c>
    </row>
    <row r="11" spans="1:15" x14ac:dyDescent="0.3">
      <c r="A11" s="11" t="s">
        <v>37</v>
      </c>
      <c r="B11" s="11" t="s">
        <v>43</v>
      </c>
      <c r="C11" s="11" t="s">
        <v>25</v>
      </c>
      <c r="F11" s="12" t="s">
        <v>49</v>
      </c>
      <c r="G11" s="12" t="s">
        <v>50</v>
      </c>
      <c r="H11" s="12" t="s">
        <v>21</v>
      </c>
    </row>
    <row r="12" spans="1:15" x14ac:dyDescent="0.3">
      <c r="A12" s="11" t="s">
        <v>38</v>
      </c>
      <c r="B12" s="11">
        <v>10000</v>
      </c>
      <c r="C12" s="11" t="str" cm="1">
        <f t="array" ref="C12">_xlfn.IFS(B12&gt;=30000,"high",B12&gt;=20000,"medium",B12&lt;20000,"low")</f>
        <v>low</v>
      </c>
      <c r="F12" s="12" t="s">
        <v>38</v>
      </c>
      <c r="G12" s="12">
        <v>5000</v>
      </c>
      <c r="H12" s="12" t="str">
        <f>IF(G12&gt;=5000,"bonus","no bonus")</f>
        <v>bonus</v>
      </c>
    </row>
    <row r="13" spans="1:15" x14ac:dyDescent="0.3">
      <c r="A13" s="11" t="s">
        <v>39</v>
      </c>
      <c r="B13" s="11">
        <v>25000</v>
      </c>
      <c r="C13" s="11" t="str" cm="1">
        <f t="array" ref="C13">_xlfn.IFS(B13&gt;=30000,"high",B13&gt;=20000,"medium",B13&lt;20000,"low")</f>
        <v>medium</v>
      </c>
      <c r="F13" s="12" t="s">
        <v>39</v>
      </c>
      <c r="G13" s="12">
        <v>2000</v>
      </c>
      <c r="H13" s="12" t="str">
        <f t="shared" ref="H13:H16" si="3">IF(G13&gt;=5000,"bonus","no bonus")</f>
        <v>no bonus</v>
      </c>
    </row>
    <row r="14" spans="1:15" x14ac:dyDescent="0.3">
      <c r="A14" s="11" t="s">
        <v>40</v>
      </c>
      <c r="B14" s="11">
        <v>40000</v>
      </c>
      <c r="C14" s="11" t="str" cm="1">
        <f t="array" ref="C14">_xlfn.IFS(B14&gt;=30000,"high",B14&gt;=20000,"medium",B14&lt;20000,"low")</f>
        <v>high</v>
      </c>
      <c r="F14" s="12" t="s">
        <v>40</v>
      </c>
      <c r="G14" s="12">
        <v>8000</v>
      </c>
      <c r="H14" s="12" t="str">
        <f t="shared" si="3"/>
        <v>bonus</v>
      </c>
    </row>
    <row r="15" spans="1:15" x14ac:dyDescent="0.3">
      <c r="A15" s="11" t="s">
        <v>41</v>
      </c>
      <c r="B15" s="11">
        <v>15000</v>
      </c>
      <c r="C15" s="11" t="str" cm="1">
        <f t="array" ref="C15">_xlfn.IFS(B15&gt;=30000,"high",B15&gt;=20000,"medium",B15&lt;20000,"low")</f>
        <v>low</v>
      </c>
      <c r="F15" s="12" t="s">
        <v>41</v>
      </c>
      <c r="G15" s="12">
        <v>1500</v>
      </c>
      <c r="H15" s="12" t="str">
        <f t="shared" si="3"/>
        <v>no bonus</v>
      </c>
    </row>
    <row r="16" spans="1:15" x14ac:dyDescent="0.3">
      <c r="A16" s="11" t="s">
        <v>42</v>
      </c>
      <c r="B16" s="11">
        <v>30000</v>
      </c>
      <c r="C16" s="11" t="str" cm="1">
        <f t="array" ref="C16">_xlfn.IFS(B16&gt;=30000,"high",B16&gt;=20000,"medium",B16&lt;20000,"low")</f>
        <v>high</v>
      </c>
      <c r="F16" s="12" t="s">
        <v>44</v>
      </c>
      <c r="G16" s="12">
        <v>6000</v>
      </c>
      <c r="H16" s="12" t="str">
        <f t="shared" si="3"/>
        <v>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conditions</vt:lpstr>
      <vt:lpstr>if &amp; ifs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2026-07-20T06:34:49Z</dcterms:created>
  <dcterms:modified xsi:type="dcterms:W3CDTF">2026-07-28T06:50:27Z</dcterms:modified>
</cp:coreProperties>
</file>