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8" documentId="8_{2772939F-28F0-445B-93DF-D304B65DE0F0}" xr6:coauthVersionLast="47" xr6:coauthVersionMax="47" xr10:uidLastSave="{AD19EDE5-BA7B-4460-82E4-D1B2B82F6B1F}"/>
  <bookViews>
    <workbookView xWindow="-108" yWindow="-108" windowWidth="23256" windowHeight="12456" activeTab="2" xr2:uid="{83E54C8D-1E20-413D-AAC8-273896EE1634}"/>
  </bookViews>
  <sheets>
    <sheet name="EMI" sheetId="1" r:id="rId1"/>
    <sheet name="PPMT,IPMT" sheetId="2" r:id="rId2"/>
    <sheet name="upper,lower,pro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3" l="1"/>
  <c r="R7" i="3"/>
  <c r="R6" i="3"/>
  <c r="R5" i="3"/>
  <c r="R8" i="3" s="1"/>
  <c r="R3" i="3"/>
  <c r="H16" i="3" a="1"/>
  <c r="H16" i="3" s="1"/>
  <c r="H9" i="3" a="1"/>
  <c r="H9" i="3" s="1"/>
  <c r="H2" i="3" a="1"/>
  <c r="H2" i="3" s="1"/>
  <c r="X28" i="2"/>
  <c r="W28" i="2"/>
  <c r="V28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S7" i="2"/>
  <c r="O303" i="2"/>
  <c r="N303" i="2"/>
  <c r="M30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2" i="2"/>
  <c r="J7" i="2"/>
  <c r="G26" i="2"/>
  <c r="F26" i="2"/>
  <c r="E2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" i="2"/>
  <c r="B7" i="2"/>
  <c r="H16" i="1"/>
  <c r="E16" i="1"/>
  <c r="B16" i="1"/>
  <c r="H7" i="1"/>
  <c r="E7" i="1"/>
  <c r="B7" i="1"/>
  <c r="R11" i="3" l="1"/>
  <c r="R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<sst xmlns="http://schemas.openxmlformats.org/spreadsheetml/2006/main" count="93" uniqueCount="44">
  <si>
    <t>price</t>
  </si>
  <si>
    <t>dp</t>
  </si>
  <si>
    <t>int</t>
  </si>
  <si>
    <t>years</t>
  </si>
  <si>
    <t>emi</t>
  </si>
  <si>
    <t>LED</t>
  </si>
  <si>
    <t>BIKE</t>
  </si>
  <si>
    <t>loan AMT</t>
  </si>
  <si>
    <t>GOLD LOAN</t>
  </si>
  <si>
    <t>months</t>
  </si>
  <si>
    <t>PPMT</t>
  </si>
  <si>
    <t>IPMT</t>
  </si>
  <si>
    <t>EMI</t>
  </si>
  <si>
    <t>SUM</t>
  </si>
  <si>
    <t>HOME LOAN</t>
  </si>
  <si>
    <t>AMT</t>
  </si>
  <si>
    <t>TOTAL</t>
  </si>
  <si>
    <t>total</t>
  </si>
  <si>
    <t>no</t>
  </si>
  <si>
    <t>ID</t>
  </si>
  <si>
    <t>NAME</t>
  </si>
  <si>
    <t>MATH</t>
  </si>
  <si>
    <t>SCIENCE</t>
  </si>
  <si>
    <t>ENGLISH</t>
  </si>
  <si>
    <t>rahul</t>
  </si>
  <si>
    <t>riya</t>
  </si>
  <si>
    <t>rani</t>
  </si>
  <si>
    <t>mina</t>
  </si>
  <si>
    <t>naina</t>
  </si>
  <si>
    <t>upper</t>
  </si>
  <si>
    <t>lower</t>
  </si>
  <si>
    <t>proper</t>
  </si>
  <si>
    <t>ram</t>
  </si>
  <si>
    <t>kumar</t>
  </si>
  <si>
    <t>singh</t>
  </si>
  <si>
    <t>date</t>
  </si>
  <si>
    <t>now</t>
  </si>
  <si>
    <t>today</t>
  </si>
  <si>
    <t>age</t>
  </si>
  <si>
    <t>birth day</t>
  </si>
  <si>
    <t>age by month</t>
  </si>
  <si>
    <t>age by day</t>
  </si>
  <si>
    <t>ans</t>
  </si>
  <si>
    <t>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</si>
</sst>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8" fontId="0" fillId="0" borderId="0" xfId="0" applyNumberFormat="1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10" fontId="0" fillId="0" borderId="1" xfId="0" applyNumberFormat="1" applyBorder="1"/>
    <xf numFmtId="8" fontId="0" fillId="2" borderId="1" xfId="0" applyNumberFormat="1" applyFill="1" applyBorder="1"/>
    <xf numFmtId="0" fontId="0" fillId="3" borderId="1" xfId="0" applyFill="1" applyBorder="1"/>
    <xf numFmtId="8" fontId="0" fillId="3" borderId="1" xfId="0" applyNumberFormat="1" applyFill="1" applyBorder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8" fontId="0" fillId="5" borderId="0" xfId="0" applyNumberFormat="1" applyFill="1"/>
    <xf numFmtId="43" fontId="0" fillId="0" borderId="1" xfId="1" applyFont="1" applyBorder="1"/>
    <xf numFmtId="8" fontId="0" fillId="5" borderId="1" xfId="0" applyNumberFormat="1" applyFill="1" applyBorder="1"/>
    <xf numFmtId="0" fontId="0" fillId="6" borderId="1" xfId="0" applyFill="1" applyBorder="1"/>
    <xf numFmtId="0" fontId="0" fillId="5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14" fontId="0" fillId="0" borderId="6" xfId="0" applyNumberFormat="1" applyBorder="1"/>
    <xf numFmtId="22" fontId="0" fillId="0" borderId="6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9639-8516-4CC4-9120-857987AC158E}">
  <dimension ref="A1:H16"/>
  <sheetViews>
    <sheetView workbookViewId="0">
      <selection activeCell="C24" sqref="C24"/>
    </sheetView>
  </sheetViews>
  <sheetFormatPr defaultRowHeight="14.4" x14ac:dyDescent="0.3"/>
  <cols>
    <col min="2" max="2" width="10.44140625" bestFit="1" customWidth="1"/>
    <col min="5" max="5" width="10.44140625" bestFit="1" customWidth="1"/>
    <col min="8" max="8" width="10.44140625" bestFit="1" customWidth="1"/>
  </cols>
  <sheetData>
    <row r="1" spans="1:8" x14ac:dyDescent="0.3">
      <c r="A1" s="2"/>
      <c r="B1" s="2" t="s">
        <v>5</v>
      </c>
      <c r="D1" s="2"/>
      <c r="E1" s="2" t="s">
        <v>6</v>
      </c>
      <c r="G1" s="2"/>
      <c r="H1" s="2" t="s">
        <v>8</v>
      </c>
    </row>
    <row r="2" spans="1:8" x14ac:dyDescent="0.3">
      <c r="A2" s="2"/>
      <c r="B2" s="2"/>
      <c r="D2" s="2"/>
      <c r="E2" s="2"/>
      <c r="G2" s="2"/>
      <c r="H2" s="2"/>
    </row>
    <row r="3" spans="1:8" x14ac:dyDescent="0.3">
      <c r="A3" s="2" t="s">
        <v>0</v>
      </c>
      <c r="B3" s="2">
        <v>50000</v>
      </c>
      <c r="D3" s="2" t="s">
        <v>0</v>
      </c>
      <c r="E3" s="2">
        <v>350000</v>
      </c>
      <c r="G3" s="2" t="s">
        <v>7</v>
      </c>
      <c r="H3" s="2">
        <v>500000</v>
      </c>
    </row>
    <row r="4" spans="1:8" x14ac:dyDescent="0.3">
      <c r="A4" s="2" t="s">
        <v>1</v>
      </c>
      <c r="B4" s="2">
        <v>10000</v>
      </c>
      <c r="D4" s="2" t="s">
        <v>1</v>
      </c>
      <c r="E4" s="2">
        <v>40000</v>
      </c>
      <c r="G4" s="2" t="s">
        <v>1</v>
      </c>
      <c r="H4" s="2">
        <v>0</v>
      </c>
    </row>
    <row r="5" spans="1:8" x14ac:dyDescent="0.3">
      <c r="A5" s="2" t="s">
        <v>2</v>
      </c>
      <c r="B5" s="3">
        <v>0.05</v>
      </c>
      <c r="D5" s="2" t="s">
        <v>2</v>
      </c>
      <c r="E5" s="5">
        <v>7.4999999999999997E-2</v>
      </c>
      <c r="G5" s="2" t="s">
        <v>2</v>
      </c>
      <c r="H5" s="5">
        <v>0.125</v>
      </c>
    </row>
    <row r="6" spans="1:8" x14ac:dyDescent="0.3">
      <c r="A6" s="2" t="s">
        <v>3</v>
      </c>
      <c r="B6" s="2">
        <v>2</v>
      </c>
      <c r="D6" s="2" t="s">
        <v>3</v>
      </c>
      <c r="E6" s="2">
        <v>3</v>
      </c>
      <c r="G6" s="2" t="s">
        <v>3</v>
      </c>
      <c r="H6" s="2">
        <v>5</v>
      </c>
    </row>
    <row r="7" spans="1:8" x14ac:dyDescent="0.3">
      <c r="A7" s="2" t="s">
        <v>4</v>
      </c>
      <c r="B7" s="4">
        <f>PMT(B5/12,B6*12,B4-B3)</f>
        <v>1754.8555893627379</v>
      </c>
      <c r="D7" s="2" t="s">
        <v>4</v>
      </c>
      <c r="E7" s="4">
        <f>PMT(E5/12,E6*12,E4-E3)</f>
        <v>9642.9276298034947</v>
      </c>
      <c r="G7" s="2" t="s">
        <v>4</v>
      </c>
      <c r="H7" s="4">
        <f>PMT(H5/12,H6*12,H4-H3)</f>
        <v>11248.96911270792</v>
      </c>
    </row>
    <row r="10" spans="1:8" x14ac:dyDescent="0.3">
      <c r="A10" s="2"/>
      <c r="B10" s="2" t="s">
        <v>5</v>
      </c>
      <c r="D10" s="2"/>
      <c r="E10" s="2" t="s">
        <v>6</v>
      </c>
      <c r="G10" s="2"/>
      <c r="H10" s="2" t="s">
        <v>8</v>
      </c>
    </row>
    <row r="11" spans="1:8" x14ac:dyDescent="0.3">
      <c r="A11" s="2"/>
      <c r="B11" s="2"/>
      <c r="D11" s="2"/>
      <c r="E11" s="2"/>
      <c r="G11" s="2"/>
      <c r="H11" s="2"/>
    </row>
    <row r="12" spans="1:8" x14ac:dyDescent="0.3">
      <c r="A12" s="2" t="s">
        <v>0</v>
      </c>
      <c r="B12" s="2">
        <v>50000</v>
      </c>
      <c r="D12" s="2" t="s">
        <v>0</v>
      </c>
      <c r="E12" s="2">
        <v>350000</v>
      </c>
      <c r="G12" s="2" t="s">
        <v>7</v>
      </c>
      <c r="H12" s="2">
        <v>500000</v>
      </c>
    </row>
    <row r="13" spans="1:8" x14ac:dyDescent="0.3">
      <c r="A13" s="2" t="s">
        <v>1</v>
      </c>
      <c r="B13" s="2">
        <v>10000</v>
      </c>
      <c r="D13" s="2" t="s">
        <v>1</v>
      </c>
      <c r="E13" s="2">
        <v>40000</v>
      </c>
      <c r="G13" s="2" t="s">
        <v>1</v>
      </c>
      <c r="H13" s="2">
        <v>0</v>
      </c>
    </row>
    <row r="14" spans="1:8" x14ac:dyDescent="0.3">
      <c r="A14" s="2" t="s">
        <v>2</v>
      </c>
      <c r="B14" s="3">
        <v>0.05</v>
      </c>
      <c r="D14" s="2" t="s">
        <v>2</v>
      </c>
      <c r="E14" s="5">
        <v>7.4999999999999997E-2</v>
      </c>
      <c r="G14" s="2" t="s">
        <v>2</v>
      </c>
      <c r="H14" s="5">
        <v>0.125</v>
      </c>
    </row>
    <row r="15" spans="1:8" x14ac:dyDescent="0.3">
      <c r="A15" s="2" t="s">
        <v>9</v>
      </c>
      <c r="B15" s="2">
        <v>8</v>
      </c>
      <c r="D15" s="2" t="s">
        <v>9</v>
      </c>
      <c r="E15" s="2">
        <v>7</v>
      </c>
      <c r="G15" s="2" t="s">
        <v>9</v>
      </c>
      <c r="H15" s="2">
        <v>10</v>
      </c>
    </row>
    <row r="16" spans="1:8" x14ac:dyDescent="0.3">
      <c r="A16" s="2" t="s">
        <v>4</v>
      </c>
      <c r="B16" s="4">
        <f>PMT(B14/12,B15,B13-B12)</f>
        <v>5094.2047738422525</v>
      </c>
      <c r="D16" s="2" t="s">
        <v>4</v>
      </c>
      <c r="E16" s="4">
        <f>PMT(E14/12,E15,E13-E12)</f>
        <v>45399.75502836737</v>
      </c>
      <c r="G16" s="2" t="s">
        <v>4</v>
      </c>
      <c r="H16" s="4">
        <f>PMT(H14/12,H15,H13-H12)</f>
        <v>52909.102886737281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63A8-F35E-46C5-81C8-77EDB7A2C362}">
  <dimension ref="A1:X303"/>
  <sheetViews>
    <sheetView topLeftCell="H1" zoomScale="74" workbookViewId="0">
      <selection activeCell="S17" sqref="S17"/>
    </sheetView>
  </sheetViews>
  <sheetFormatPr defaultRowHeight="14.4" x14ac:dyDescent="0.3"/>
  <cols>
    <col min="2" max="2" width="10.109375" customWidth="1"/>
    <col min="5" max="5" width="10.44140625" bestFit="1" customWidth="1"/>
    <col min="6" max="6" width="9.44140625" bestFit="1" customWidth="1"/>
    <col min="7" max="7" width="10.44140625" bestFit="1" customWidth="1"/>
    <col min="10" max="10" width="14" customWidth="1"/>
    <col min="13" max="13" width="13.109375" bestFit="1" customWidth="1"/>
    <col min="14" max="15" width="14.6640625" bestFit="1" customWidth="1"/>
    <col min="19" max="19" width="15.44140625" customWidth="1"/>
    <col min="21" max="21" width="7.77734375" bestFit="1" customWidth="1"/>
    <col min="22" max="22" width="15.5546875" customWidth="1"/>
    <col min="23" max="23" width="13.44140625" customWidth="1"/>
    <col min="24" max="24" width="13.6640625" customWidth="1"/>
  </cols>
  <sheetData>
    <row r="1" spans="1:24" x14ac:dyDescent="0.3">
      <c r="A1" s="9"/>
      <c r="B1" s="9" t="s">
        <v>5</v>
      </c>
      <c r="D1" s="9"/>
      <c r="E1" s="9" t="s">
        <v>10</v>
      </c>
      <c r="F1" s="9" t="s">
        <v>11</v>
      </c>
      <c r="G1" s="9" t="s">
        <v>12</v>
      </c>
      <c r="I1" s="2"/>
      <c r="J1" s="9" t="s">
        <v>14</v>
      </c>
      <c r="L1" s="10" t="s">
        <v>18</v>
      </c>
      <c r="M1" s="10" t="s">
        <v>10</v>
      </c>
      <c r="N1" s="10" t="s">
        <v>11</v>
      </c>
      <c r="O1" s="10" t="s">
        <v>12</v>
      </c>
      <c r="R1" s="2"/>
      <c r="S1" s="9" t="s">
        <v>14</v>
      </c>
      <c r="U1" s="10" t="s">
        <v>18</v>
      </c>
      <c r="V1" s="10" t="s">
        <v>10</v>
      </c>
      <c r="W1" s="10" t="s">
        <v>11</v>
      </c>
      <c r="X1" s="10" t="s">
        <v>12</v>
      </c>
    </row>
    <row r="2" spans="1:24" x14ac:dyDescent="0.3">
      <c r="A2" s="2"/>
      <c r="B2" s="2"/>
      <c r="D2" s="2">
        <v>1</v>
      </c>
      <c r="E2" s="4">
        <f>PPMT($B$5/12,D2,$B$6*12,$B$4-$B$3)</f>
        <v>1588.1889226960711</v>
      </c>
      <c r="F2" s="4">
        <f>IPMT($B$5/12,D2,$B$6*12,$B$4-$B$3)</f>
        <v>166.66666666666666</v>
      </c>
      <c r="G2" s="4">
        <f>PMT($B$5/12,$B$6*12,$B$4-$B$3)</f>
        <v>1754.8555893627379</v>
      </c>
      <c r="I2" s="2"/>
      <c r="J2" s="2"/>
      <c r="L2">
        <v>1</v>
      </c>
      <c r="M2" s="1">
        <f>PPMT($J$5/12,L2,$J$6*12,$J$4-$J$3)</f>
        <v>1691.479098256516</v>
      </c>
      <c r="N2" s="1">
        <f>IPMT($J$5/12,L2,$J$6*12,$J$4-$J$3)</f>
        <v>60416.666666666664</v>
      </c>
      <c r="O2" s="1">
        <f>M2+N2</f>
        <v>62108.145764923182</v>
      </c>
      <c r="R2" s="2"/>
      <c r="S2" s="2"/>
      <c r="U2">
        <v>1</v>
      </c>
      <c r="V2" s="1">
        <f>PPMT($J$5/12,U2,$J$6,$J$4-$J$3)</f>
        <v>172507.10441862617</v>
      </c>
      <c r="W2" s="1">
        <f>IPMT($J$5/12,U2,$J$6,$J$4-$J$3)</f>
        <v>60416.666666666664</v>
      </c>
      <c r="X2" s="1">
        <f>V2+W2</f>
        <v>232923.77108529283</v>
      </c>
    </row>
    <row r="3" spans="1:24" x14ac:dyDescent="0.3">
      <c r="A3" s="2" t="s">
        <v>0</v>
      </c>
      <c r="B3" s="2">
        <v>50000</v>
      </c>
      <c r="D3" s="2">
        <v>2</v>
      </c>
      <c r="E3" s="4">
        <f t="shared" ref="E3:E25" si="0">PPMT($B$5/12,D3,$B$6*12,$B$4-$B$3)</f>
        <v>1594.806376540638</v>
      </c>
      <c r="F3" s="4">
        <f t="shared" ref="F3:F25" si="1">IPMT($B$5/12,D3,$B$6*12,$B$4-$B$3)</f>
        <v>160.04921282209972</v>
      </c>
      <c r="G3" s="4">
        <f t="shared" ref="G3:G25" si="2">PMT($B$5/12,$B$6*12,$B$4-$B$3)</f>
        <v>1754.8555893627379</v>
      </c>
      <c r="I3" s="2" t="s">
        <v>15</v>
      </c>
      <c r="J3" s="13">
        <v>5000000</v>
      </c>
      <c r="L3">
        <v>2</v>
      </c>
      <c r="M3" s="1">
        <f t="shared" ref="M3:M66" si="3">PPMT($J$5/12,L3,$J$6*12,$J$4-$J$3)</f>
        <v>1711.9178040271156</v>
      </c>
      <c r="N3" s="1">
        <f t="shared" ref="N3:N66" si="4">IPMT($J$5/12,L3,$J$6*12,$J$4-$J$3)</f>
        <v>60396.227960896074</v>
      </c>
      <c r="O3" s="1">
        <f t="shared" ref="O3:O66" si="5">M3+N3</f>
        <v>62108.145764923189</v>
      </c>
      <c r="R3" s="2" t="s">
        <v>15</v>
      </c>
      <c r="S3" s="13">
        <v>5000000</v>
      </c>
      <c r="U3">
        <v>2</v>
      </c>
      <c r="V3" s="1">
        <f t="shared" ref="V3:V26" si="6">PPMT($J$5/12,U3,$J$6,$J$4-$J$3)</f>
        <v>174591.56526368455</v>
      </c>
      <c r="W3" s="1">
        <f t="shared" ref="W3:W26" si="7">IPMT($J$5/12,U3,$J$6,$J$4-$J$3)</f>
        <v>58332.205821608266</v>
      </c>
      <c r="X3" s="1">
        <f t="shared" ref="X3:X26" si="8">V3+W3</f>
        <v>232923.7710852928</v>
      </c>
    </row>
    <row r="4" spans="1:24" x14ac:dyDescent="0.3">
      <c r="A4" s="2" t="s">
        <v>1</v>
      </c>
      <c r="B4" s="2">
        <v>10000</v>
      </c>
      <c r="D4" s="2">
        <v>3</v>
      </c>
      <c r="E4" s="4">
        <f t="shared" si="0"/>
        <v>1601.4514031095575</v>
      </c>
      <c r="F4" s="4">
        <f t="shared" si="1"/>
        <v>153.40418625318037</v>
      </c>
      <c r="G4" s="4">
        <f t="shared" si="2"/>
        <v>1754.8555893627379</v>
      </c>
      <c r="I4" s="2" t="s">
        <v>1</v>
      </c>
      <c r="J4" s="2">
        <v>0</v>
      </c>
      <c r="L4">
        <v>3</v>
      </c>
      <c r="M4" s="1">
        <f t="shared" si="3"/>
        <v>1732.6034774924426</v>
      </c>
      <c r="N4" s="1">
        <f t="shared" si="4"/>
        <v>60375.542287430741</v>
      </c>
      <c r="O4" s="1">
        <f t="shared" si="5"/>
        <v>62108.145764923182</v>
      </c>
      <c r="R4" s="2" t="s">
        <v>1</v>
      </c>
      <c r="S4" s="2">
        <v>0</v>
      </c>
      <c r="U4">
        <v>3</v>
      </c>
      <c r="V4" s="1">
        <f t="shared" si="6"/>
        <v>176701.21334395409</v>
      </c>
      <c r="W4" s="1">
        <f t="shared" si="7"/>
        <v>56222.557741338744</v>
      </c>
      <c r="X4" s="1">
        <f t="shared" si="8"/>
        <v>232923.77108529283</v>
      </c>
    </row>
    <row r="5" spans="1:24" x14ac:dyDescent="0.3">
      <c r="A5" s="2" t="s">
        <v>2</v>
      </c>
      <c r="B5" s="3">
        <v>0.05</v>
      </c>
      <c r="D5" s="2">
        <v>4</v>
      </c>
      <c r="E5" s="4">
        <f t="shared" si="0"/>
        <v>1608.1241172891805</v>
      </c>
      <c r="F5" s="4">
        <f t="shared" si="1"/>
        <v>146.73147207355723</v>
      </c>
      <c r="G5" s="4">
        <f t="shared" si="2"/>
        <v>1754.8555893627379</v>
      </c>
      <c r="I5" s="2" t="s">
        <v>2</v>
      </c>
      <c r="J5" s="5">
        <v>0.14499999999999999</v>
      </c>
      <c r="L5">
        <v>4</v>
      </c>
      <c r="M5" s="1">
        <f t="shared" si="3"/>
        <v>1753.5391028454767</v>
      </c>
      <c r="N5" s="1">
        <f t="shared" si="4"/>
        <v>60354.606662077713</v>
      </c>
      <c r="O5" s="1">
        <f t="shared" si="5"/>
        <v>62108.145764923189</v>
      </c>
      <c r="R5" s="2" t="s">
        <v>2</v>
      </c>
      <c r="S5" s="5">
        <v>0.14499999999999999</v>
      </c>
      <c r="U5">
        <v>4</v>
      </c>
      <c r="V5" s="1">
        <f t="shared" si="6"/>
        <v>178836.35300519355</v>
      </c>
      <c r="W5" s="1">
        <f t="shared" si="7"/>
        <v>54087.418080099298</v>
      </c>
      <c r="X5" s="1">
        <f t="shared" si="8"/>
        <v>232923.77108529286</v>
      </c>
    </row>
    <row r="6" spans="1:24" x14ac:dyDescent="0.3">
      <c r="A6" s="2" t="s">
        <v>3</v>
      </c>
      <c r="B6" s="2">
        <v>2</v>
      </c>
      <c r="D6" s="2">
        <v>5</v>
      </c>
      <c r="E6" s="4">
        <f t="shared" si="0"/>
        <v>1614.8246344445522</v>
      </c>
      <c r="F6" s="4">
        <f t="shared" si="1"/>
        <v>140.03095491818564</v>
      </c>
      <c r="G6" s="4">
        <f t="shared" si="2"/>
        <v>1754.8555893627379</v>
      </c>
      <c r="I6" s="2" t="s">
        <v>3</v>
      </c>
      <c r="J6" s="2">
        <v>25</v>
      </c>
      <c r="L6">
        <v>5</v>
      </c>
      <c r="M6" s="1">
        <f t="shared" si="3"/>
        <v>1774.727700338193</v>
      </c>
      <c r="N6" s="1">
        <f t="shared" si="4"/>
        <v>60333.418064584992</v>
      </c>
      <c r="O6" s="1">
        <f t="shared" si="5"/>
        <v>62108.145764923182</v>
      </c>
      <c r="R6" s="2" t="s">
        <v>9</v>
      </c>
      <c r="S6" s="2">
        <v>18</v>
      </c>
      <c r="U6">
        <v>5</v>
      </c>
      <c r="V6" s="1">
        <f t="shared" si="6"/>
        <v>180997.29227067297</v>
      </c>
      <c r="W6" s="1">
        <f t="shared" si="7"/>
        <v>51926.47881461987</v>
      </c>
      <c r="X6" s="1">
        <f t="shared" si="8"/>
        <v>232923.77108529286</v>
      </c>
    </row>
    <row r="7" spans="1:24" x14ac:dyDescent="0.3">
      <c r="A7" s="2" t="s">
        <v>4</v>
      </c>
      <c r="B7" s="6">
        <f>PMT(B5/12,B6*12,B4-B3)</f>
        <v>1754.8555893627379</v>
      </c>
      <c r="D7" s="2">
        <v>6</v>
      </c>
      <c r="E7" s="4">
        <f t="shared" si="0"/>
        <v>1621.5530704214045</v>
      </c>
      <c r="F7" s="4">
        <f t="shared" si="1"/>
        <v>133.30251894133335</v>
      </c>
      <c r="G7" s="4">
        <f t="shared" si="2"/>
        <v>1754.8555893627379</v>
      </c>
      <c r="I7" s="2" t="s">
        <v>4</v>
      </c>
      <c r="J7" s="14">
        <f>PMT(J5/12,J6*12,J4-J3)</f>
        <v>62108.145764923182</v>
      </c>
      <c r="L7">
        <v>6</v>
      </c>
      <c r="M7" s="1">
        <f t="shared" si="3"/>
        <v>1796.1723267172797</v>
      </c>
      <c r="N7" s="1">
        <f t="shared" si="4"/>
        <v>60311.97343820591</v>
      </c>
      <c r="O7" s="1">
        <f t="shared" si="5"/>
        <v>62108.145764923189</v>
      </c>
      <c r="R7" s="2" t="s">
        <v>4</v>
      </c>
      <c r="S7" s="14">
        <f>PMT(S5/12,S6*12,S4-S3)</f>
        <v>65293.706885892876</v>
      </c>
      <c r="U7">
        <v>6</v>
      </c>
      <c r="V7" s="1">
        <f t="shared" si="6"/>
        <v>183184.34288561027</v>
      </c>
      <c r="W7" s="1">
        <f t="shared" si="7"/>
        <v>49739.428199682581</v>
      </c>
      <c r="X7" s="1">
        <f t="shared" si="8"/>
        <v>232923.77108529286</v>
      </c>
    </row>
    <row r="8" spans="1:24" x14ac:dyDescent="0.3">
      <c r="D8" s="2">
        <v>7</v>
      </c>
      <c r="E8" s="4">
        <f t="shared" si="0"/>
        <v>1628.3095415481603</v>
      </c>
      <c r="F8" s="4">
        <f t="shared" si="1"/>
        <v>126.54604781457748</v>
      </c>
      <c r="G8" s="4">
        <f t="shared" si="2"/>
        <v>1754.8555893627379</v>
      </c>
      <c r="L8">
        <v>7</v>
      </c>
      <c r="M8" s="1">
        <f t="shared" si="3"/>
        <v>1817.8760756651129</v>
      </c>
      <c r="N8" s="1">
        <f t="shared" si="4"/>
        <v>60290.269689258072</v>
      </c>
      <c r="O8" s="1">
        <f t="shared" si="5"/>
        <v>62108.145764923182</v>
      </c>
      <c r="U8">
        <v>7</v>
      </c>
      <c r="V8" s="1">
        <f t="shared" si="6"/>
        <v>185397.8203621447</v>
      </c>
      <c r="W8" s="1">
        <f t="shared" si="7"/>
        <v>47525.950723148118</v>
      </c>
      <c r="X8" s="1">
        <f t="shared" si="8"/>
        <v>232923.77108529283</v>
      </c>
    </row>
    <row r="9" spans="1:24" x14ac:dyDescent="0.3">
      <c r="D9" s="2">
        <v>8</v>
      </c>
      <c r="E9" s="4">
        <f t="shared" si="0"/>
        <v>1635.0941646379445</v>
      </c>
      <c r="F9" s="4">
        <f t="shared" si="1"/>
        <v>119.7614247247935</v>
      </c>
      <c r="G9" s="4">
        <f t="shared" si="2"/>
        <v>1754.8555893627379</v>
      </c>
      <c r="L9">
        <v>8</v>
      </c>
      <c r="M9" s="1">
        <f t="shared" si="3"/>
        <v>1839.8420782460664</v>
      </c>
      <c r="N9" s="1">
        <f t="shared" si="4"/>
        <v>60268.303686677114</v>
      </c>
      <c r="O9" s="1">
        <f t="shared" si="5"/>
        <v>62108.145764923182</v>
      </c>
      <c r="U9">
        <v>8</v>
      </c>
      <c r="V9" s="1">
        <f t="shared" si="6"/>
        <v>187638.04402485394</v>
      </c>
      <c r="W9" s="1">
        <f t="shared" si="7"/>
        <v>45285.727060438869</v>
      </c>
      <c r="X9" s="1">
        <f t="shared" si="8"/>
        <v>232923.7710852928</v>
      </c>
    </row>
    <row r="10" spans="1:24" x14ac:dyDescent="0.3">
      <c r="D10" s="2">
        <v>9</v>
      </c>
      <c r="E10" s="4">
        <f t="shared" si="0"/>
        <v>1641.9070569906025</v>
      </c>
      <c r="F10" s="4">
        <f t="shared" si="1"/>
        <v>112.94853237213539</v>
      </c>
      <c r="G10" s="4">
        <f t="shared" si="2"/>
        <v>1754.8555893627379</v>
      </c>
      <c r="L10">
        <v>9</v>
      </c>
      <c r="M10" s="1">
        <f t="shared" si="3"/>
        <v>1862.0735033582068</v>
      </c>
      <c r="N10" s="1">
        <f t="shared" si="4"/>
        <v>60246.072261564972</v>
      </c>
      <c r="O10" s="1">
        <f t="shared" si="5"/>
        <v>62108.145764923182</v>
      </c>
      <c r="U10">
        <v>9</v>
      </c>
      <c r="V10" s="1">
        <f t="shared" si="6"/>
        <v>189905.33705682092</v>
      </c>
      <c r="W10" s="1">
        <f t="shared" si="7"/>
        <v>43018.434028471886</v>
      </c>
      <c r="X10" s="1">
        <f t="shared" si="8"/>
        <v>232923.7710852928</v>
      </c>
    </row>
    <row r="11" spans="1:24" x14ac:dyDescent="0.3">
      <c r="D11" s="2">
        <v>10</v>
      </c>
      <c r="E11" s="4">
        <f t="shared" si="0"/>
        <v>1648.7483363947299</v>
      </c>
      <c r="F11" s="4">
        <f t="shared" si="1"/>
        <v>106.10725296800787</v>
      </c>
      <c r="G11" s="4">
        <f t="shared" si="2"/>
        <v>1754.8555893627379</v>
      </c>
      <c r="L11">
        <v>10</v>
      </c>
      <c r="M11" s="1">
        <f t="shared" si="3"/>
        <v>1884.5735581904521</v>
      </c>
      <c r="N11" s="1">
        <f t="shared" si="4"/>
        <v>60223.572206732737</v>
      </c>
      <c r="O11" s="1">
        <f t="shared" si="5"/>
        <v>62108.145764923189</v>
      </c>
      <c r="U11">
        <v>10</v>
      </c>
      <c r="V11" s="1">
        <f t="shared" si="6"/>
        <v>192200.02654625755</v>
      </c>
      <c r="W11" s="1">
        <f t="shared" si="7"/>
        <v>40723.744539035302</v>
      </c>
      <c r="X11" s="1">
        <f t="shared" si="8"/>
        <v>232923.77108529286</v>
      </c>
    </row>
    <row r="12" spans="1:24" x14ac:dyDescent="0.3">
      <c r="D12" s="2">
        <v>11</v>
      </c>
      <c r="E12" s="4">
        <f t="shared" si="0"/>
        <v>1655.618121129708</v>
      </c>
      <c r="F12" s="4">
        <f t="shared" si="1"/>
        <v>99.237468233029844</v>
      </c>
      <c r="G12" s="4">
        <f t="shared" si="2"/>
        <v>1754.8555893627379</v>
      </c>
      <c r="L12">
        <v>11</v>
      </c>
      <c r="M12" s="1">
        <f t="shared" si="3"/>
        <v>1907.3454886852528</v>
      </c>
      <c r="N12" s="1">
        <f t="shared" si="4"/>
        <v>60200.800276237933</v>
      </c>
      <c r="O12" s="1">
        <f t="shared" si="5"/>
        <v>62108.145764923189</v>
      </c>
      <c r="U12">
        <v>11</v>
      </c>
      <c r="V12" s="1">
        <f t="shared" si="6"/>
        <v>194522.44353369146</v>
      </c>
      <c r="W12" s="1">
        <f t="shared" si="7"/>
        <v>38401.327551601353</v>
      </c>
      <c r="X12" s="1">
        <f t="shared" si="8"/>
        <v>232923.7710852928</v>
      </c>
    </row>
    <row r="13" spans="1:24" x14ac:dyDescent="0.3">
      <c r="D13" s="2">
        <v>12</v>
      </c>
      <c r="E13" s="4">
        <f t="shared" si="0"/>
        <v>1662.5165299677485</v>
      </c>
      <c r="F13" s="4">
        <f t="shared" si="1"/>
        <v>92.339059394989391</v>
      </c>
      <c r="G13" s="4">
        <f t="shared" si="2"/>
        <v>1754.8555893627379</v>
      </c>
      <c r="L13">
        <v>12</v>
      </c>
      <c r="M13" s="1">
        <f t="shared" si="3"/>
        <v>1930.3925800068664</v>
      </c>
      <c r="N13" s="1">
        <f t="shared" si="4"/>
        <v>60177.753184916321</v>
      </c>
      <c r="O13" s="1">
        <f t="shared" si="5"/>
        <v>62108.145764923189</v>
      </c>
      <c r="U13">
        <v>12</v>
      </c>
      <c r="V13" s="1">
        <f t="shared" si="6"/>
        <v>196872.92305972357</v>
      </c>
      <c r="W13" s="1">
        <f t="shared" si="7"/>
        <v>36050.848025569248</v>
      </c>
      <c r="X13" s="1">
        <f t="shared" si="8"/>
        <v>232923.77108529283</v>
      </c>
    </row>
    <row r="14" spans="1:24" x14ac:dyDescent="0.3">
      <c r="D14" s="2">
        <v>13</v>
      </c>
      <c r="E14" s="4">
        <f t="shared" si="0"/>
        <v>1669.4436821759475</v>
      </c>
      <c r="F14" s="4">
        <f t="shared" si="1"/>
        <v>85.411907186790444</v>
      </c>
      <c r="G14" s="4">
        <f t="shared" si="2"/>
        <v>1754.8555893627379</v>
      </c>
      <c r="L14">
        <v>13</v>
      </c>
      <c r="M14" s="1">
        <f t="shared" si="3"/>
        <v>1953.7181570152829</v>
      </c>
      <c r="N14" s="1">
        <f t="shared" si="4"/>
        <v>60154.427607907906</v>
      </c>
      <c r="O14" s="1">
        <f t="shared" si="5"/>
        <v>62108.145764923189</v>
      </c>
      <c r="U14">
        <v>13</v>
      </c>
      <c r="V14" s="1">
        <f t="shared" si="6"/>
        <v>199251.8042133619</v>
      </c>
      <c r="W14" s="1">
        <f t="shared" si="7"/>
        <v>33671.966871930919</v>
      </c>
      <c r="X14" s="1">
        <f t="shared" si="8"/>
        <v>232923.77108529283</v>
      </c>
    </row>
    <row r="15" spans="1:24" x14ac:dyDescent="0.3">
      <c r="D15" s="2">
        <v>14</v>
      </c>
      <c r="E15" s="4">
        <f t="shared" si="0"/>
        <v>1676.3996975183472</v>
      </c>
      <c r="F15" s="4">
        <f t="shared" si="1"/>
        <v>78.455891844390663</v>
      </c>
      <c r="G15" s="4">
        <f t="shared" si="2"/>
        <v>1754.8555893627379</v>
      </c>
      <c r="L15">
        <v>14</v>
      </c>
      <c r="M15" s="1">
        <f t="shared" si="3"/>
        <v>1977.3255847458838</v>
      </c>
      <c r="N15" s="1">
        <f t="shared" si="4"/>
        <v>60130.820180177303</v>
      </c>
      <c r="O15" s="1">
        <f t="shared" si="5"/>
        <v>62108.145764923189</v>
      </c>
      <c r="U15">
        <v>14</v>
      </c>
      <c r="V15" s="1">
        <f t="shared" si="6"/>
        <v>201659.43018094002</v>
      </c>
      <c r="W15" s="1">
        <f t="shared" si="7"/>
        <v>31264.340904352805</v>
      </c>
      <c r="X15" s="1">
        <f t="shared" si="8"/>
        <v>232923.77108529283</v>
      </c>
    </row>
    <row r="16" spans="1:24" x14ac:dyDescent="0.3">
      <c r="D16" s="2">
        <v>15</v>
      </c>
      <c r="E16" s="4">
        <f t="shared" si="0"/>
        <v>1683.3846962580069</v>
      </c>
      <c r="F16" s="4">
        <f t="shared" si="1"/>
        <v>71.470893104730891</v>
      </c>
      <c r="G16" s="4">
        <f t="shared" si="2"/>
        <v>1754.8555893627379</v>
      </c>
      <c r="L16">
        <v>15</v>
      </c>
      <c r="M16" s="1">
        <f t="shared" si="3"/>
        <v>2001.2182688948965</v>
      </c>
      <c r="N16" s="1">
        <f t="shared" si="4"/>
        <v>60106.927496028286</v>
      </c>
      <c r="O16" s="1">
        <f t="shared" si="5"/>
        <v>62108.145764923182</v>
      </c>
      <c r="U16">
        <v>15</v>
      </c>
      <c r="V16" s="1">
        <f t="shared" si="6"/>
        <v>204096.14829562639</v>
      </c>
      <c r="W16" s="1">
        <f t="shared" si="7"/>
        <v>28827.622789666435</v>
      </c>
      <c r="X16" s="1">
        <f t="shared" si="8"/>
        <v>232923.77108529283</v>
      </c>
    </row>
    <row r="17" spans="4:24" x14ac:dyDescent="0.3">
      <c r="D17" s="2">
        <v>16</v>
      </c>
      <c r="E17" s="4">
        <f t="shared" si="0"/>
        <v>1690.3987991590818</v>
      </c>
      <c r="F17" s="4">
        <f t="shared" si="1"/>
        <v>64.456790203655856</v>
      </c>
      <c r="G17" s="4">
        <f t="shared" si="2"/>
        <v>1754.8555893627379</v>
      </c>
      <c r="L17">
        <v>16</v>
      </c>
      <c r="M17" s="1">
        <f t="shared" si="3"/>
        <v>2025.39965631071</v>
      </c>
      <c r="N17" s="1">
        <f t="shared" si="4"/>
        <v>60082.746108612482</v>
      </c>
      <c r="O17" s="1">
        <f t="shared" si="5"/>
        <v>62108.145764923189</v>
      </c>
      <c r="U17">
        <v>16</v>
      </c>
      <c r="V17" s="1">
        <f t="shared" si="6"/>
        <v>206562.31008753186</v>
      </c>
      <c r="W17" s="1">
        <f t="shared" si="7"/>
        <v>26361.460997760951</v>
      </c>
      <c r="X17" s="1">
        <f t="shared" si="8"/>
        <v>232923.7710852928</v>
      </c>
    </row>
    <row r="18" spans="4:24" x14ac:dyDescent="0.3">
      <c r="D18" s="2">
        <v>17</v>
      </c>
      <c r="E18" s="4">
        <f t="shared" si="0"/>
        <v>1697.4421274889114</v>
      </c>
      <c r="F18" s="4">
        <f t="shared" si="1"/>
        <v>57.41346187382635</v>
      </c>
      <c r="G18" s="4">
        <f t="shared" si="2"/>
        <v>1754.8555893627379</v>
      </c>
      <c r="L18">
        <v>17</v>
      </c>
      <c r="M18" s="1">
        <f t="shared" si="3"/>
        <v>2049.8732354911317</v>
      </c>
      <c r="N18" s="1">
        <f t="shared" si="4"/>
        <v>60058.272529432048</v>
      </c>
      <c r="O18" s="1">
        <f t="shared" si="5"/>
        <v>62108.145764923182</v>
      </c>
      <c r="U18">
        <v>17</v>
      </c>
      <c r="V18" s="1">
        <f t="shared" si="6"/>
        <v>209058.27133442287</v>
      </c>
      <c r="W18" s="1">
        <f t="shared" si="7"/>
        <v>23865.499750869942</v>
      </c>
      <c r="X18" s="1">
        <f t="shared" si="8"/>
        <v>232923.7710852928</v>
      </c>
    </row>
    <row r="19" spans="4:24" x14ac:dyDescent="0.3">
      <c r="D19" s="2">
        <v>18</v>
      </c>
      <c r="E19" s="4">
        <f t="shared" si="0"/>
        <v>1704.5148030201156</v>
      </c>
      <c r="F19" s="4">
        <f t="shared" si="1"/>
        <v>50.340786342622557</v>
      </c>
      <c r="G19" s="4">
        <f t="shared" si="2"/>
        <v>1754.8555893627379</v>
      </c>
      <c r="L19">
        <v>18</v>
      </c>
      <c r="M19" s="1">
        <f t="shared" si="3"/>
        <v>2074.6425370866491</v>
      </c>
      <c r="N19" s="1">
        <f t="shared" si="4"/>
        <v>60033.503227836532</v>
      </c>
      <c r="O19" s="1">
        <f t="shared" si="5"/>
        <v>62108.145764923182</v>
      </c>
      <c r="U19">
        <v>18</v>
      </c>
      <c r="V19" s="1">
        <f t="shared" si="6"/>
        <v>211584.39211304713</v>
      </c>
      <c r="W19" s="1">
        <f t="shared" si="7"/>
        <v>21339.378972245671</v>
      </c>
      <c r="X19" s="1">
        <f t="shared" si="8"/>
        <v>232923.7710852928</v>
      </c>
    </row>
    <row r="20" spans="4:24" x14ac:dyDescent="0.3">
      <c r="D20" s="2">
        <v>19</v>
      </c>
      <c r="E20" s="4">
        <f t="shared" si="0"/>
        <v>1711.6169480326992</v>
      </c>
      <c r="F20" s="4">
        <f t="shared" si="1"/>
        <v>43.238641330038739</v>
      </c>
      <c r="G20" s="4">
        <f t="shared" si="2"/>
        <v>1754.8555893627379</v>
      </c>
      <c r="L20">
        <v>19</v>
      </c>
      <c r="M20" s="1">
        <f t="shared" si="3"/>
        <v>2099.7111344097798</v>
      </c>
      <c r="N20" s="1">
        <f t="shared" si="4"/>
        <v>60008.434630513402</v>
      </c>
      <c r="O20" s="1">
        <f t="shared" si="5"/>
        <v>62108.145764923182</v>
      </c>
      <c r="U20">
        <v>19</v>
      </c>
      <c r="V20" s="1">
        <f t="shared" si="6"/>
        <v>214141.03685107981</v>
      </c>
      <c r="W20" s="1">
        <f t="shared" si="7"/>
        <v>18782.73423421301</v>
      </c>
      <c r="X20" s="1">
        <f t="shared" si="8"/>
        <v>232923.77108529283</v>
      </c>
    </row>
    <row r="21" spans="4:24" x14ac:dyDescent="0.3">
      <c r="D21" s="2">
        <v>20</v>
      </c>
      <c r="E21" s="4">
        <f t="shared" si="0"/>
        <v>1718.7486853161688</v>
      </c>
      <c r="F21" s="4">
        <f t="shared" si="1"/>
        <v>36.106904046569163</v>
      </c>
      <c r="G21" s="4">
        <f t="shared" si="2"/>
        <v>1754.8555893627379</v>
      </c>
      <c r="L21">
        <v>20</v>
      </c>
      <c r="M21" s="1">
        <f t="shared" si="3"/>
        <v>2125.0826439505645</v>
      </c>
      <c r="N21" s="1">
        <f t="shared" si="4"/>
        <v>59983.06312097262</v>
      </c>
      <c r="O21" s="1">
        <f t="shared" si="5"/>
        <v>62108.145764923182</v>
      </c>
      <c r="U21">
        <v>20</v>
      </c>
      <c r="V21" s="1">
        <f t="shared" si="6"/>
        <v>216728.57437969703</v>
      </c>
      <c r="W21" s="1">
        <f t="shared" si="7"/>
        <v>16195.196705595799</v>
      </c>
      <c r="X21" s="1">
        <f t="shared" si="8"/>
        <v>232923.77108529283</v>
      </c>
    </row>
    <row r="22" spans="4:24" x14ac:dyDescent="0.3">
      <c r="D22" s="2">
        <v>21</v>
      </c>
      <c r="E22" s="4">
        <f t="shared" si="0"/>
        <v>1725.9101381716528</v>
      </c>
      <c r="F22" s="4">
        <f t="shared" si="1"/>
        <v>28.945451191085123</v>
      </c>
      <c r="G22" s="4">
        <f t="shared" si="2"/>
        <v>1754.8555893627379</v>
      </c>
      <c r="L22">
        <v>21</v>
      </c>
      <c r="M22" s="1">
        <f t="shared" si="3"/>
        <v>2150.7607258983007</v>
      </c>
      <c r="N22" s="1">
        <f t="shared" si="4"/>
        <v>59957.385039024877</v>
      </c>
      <c r="O22" s="1">
        <f t="shared" si="5"/>
        <v>62108.145764923174</v>
      </c>
      <c r="U22">
        <v>21</v>
      </c>
      <c r="V22" s="1">
        <f t="shared" si="6"/>
        <v>219347.37798678502</v>
      </c>
      <c r="W22" s="1">
        <f t="shared" si="7"/>
        <v>13576.393098507791</v>
      </c>
      <c r="X22" s="1">
        <f t="shared" si="8"/>
        <v>232923.77108529283</v>
      </c>
    </row>
    <row r="23" spans="4:24" x14ac:dyDescent="0.3">
      <c r="D23" s="2">
        <v>22</v>
      </c>
      <c r="E23" s="4">
        <f t="shared" si="0"/>
        <v>1733.1014304140344</v>
      </c>
      <c r="F23" s="4">
        <f t="shared" si="1"/>
        <v>21.754158948703243</v>
      </c>
      <c r="G23" s="4">
        <f t="shared" si="2"/>
        <v>1754.8555893627379</v>
      </c>
      <c r="L23">
        <v>22</v>
      </c>
      <c r="M23" s="1">
        <f t="shared" si="3"/>
        <v>2176.7490846695714</v>
      </c>
      <c r="N23" s="1">
        <f t="shared" si="4"/>
        <v>59931.396680253616</v>
      </c>
      <c r="O23" s="1">
        <f t="shared" si="5"/>
        <v>62108.145764923189</v>
      </c>
      <c r="U23">
        <v>22</v>
      </c>
      <c r="V23" s="1">
        <f t="shared" si="6"/>
        <v>221997.82547079204</v>
      </c>
      <c r="W23" s="1">
        <f t="shared" si="7"/>
        <v>10925.945614500808</v>
      </c>
      <c r="X23" s="1">
        <f t="shared" si="8"/>
        <v>232923.77108529286</v>
      </c>
    </row>
    <row r="24" spans="4:24" x14ac:dyDescent="0.3">
      <c r="D24" s="2">
        <v>23</v>
      </c>
      <c r="E24" s="4">
        <f t="shared" si="0"/>
        <v>1740.3226863740931</v>
      </c>
      <c r="F24" s="4">
        <f t="shared" si="1"/>
        <v>14.532902988644768</v>
      </c>
      <c r="G24" s="4">
        <f t="shared" si="2"/>
        <v>1754.8555893627379</v>
      </c>
      <c r="L24">
        <v>23</v>
      </c>
      <c r="M24" s="1">
        <f t="shared" si="3"/>
        <v>2203.0514694426624</v>
      </c>
      <c r="N24" s="1">
        <f t="shared" si="4"/>
        <v>59905.094295480514</v>
      </c>
      <c r="O24" s="1">
        <f t="shared" si="5"/>
        <v>62108.145764923174</v>
      </c>
      <c r="U24">
        <v>23</v>
      </c>
      <c r="V24" s="1">
        <f t="shared" si="6"/>
        <v>224680.29919523076</v>
      </c>
      <c r="W24" s="1">
        <f t="shared" si="7"/>
        <v>8243.4718900620737</v>
      </c>
      <c r="X24" s="1">
        <f t="shared" si="8"/>
        <v>232923.77108529283</v>
      </c>
    </row>
    <row r="25" spans="4:24" x14ac:dyDescent="0.3">
      <c r="D25" s="2">
        <v>24</v>
      </c>
      <c r="E25" s="4">
        <f t="shared" si="0"/>
        <v>1747.5740309006517</v>
      </c>
      <c r="F25" s="4">
        <f t="shared" si="1"/>
        <v>7.2815584620860472</v>
      </c>
      <c r="G25" s="4">
        <f t="shared" si="2"/>
        <v>1754.8555893627379</v>
      </c>
      <c r="L25">
        <v>24</v>
      </c>
      <c r="M25" s="1">
        <f t="shared" si="3"/>
        <v>2229.671674698428</v>
      </c>
      <c r="N25" s="1">
        <f t="shared" si="4"/>
        <v>59878.47409022475</v>
      </c>
      <c r="O25" s="1">
        <f t="shared" si="5"/>
        <v>62108.145764923182</v>
      </c>
      <c r="U25">
        <v>24</v>
      </c>
      <c r="V25" s="1">
        <f t="shared" si="6"/>
        <v>227395.18614383979</v>
      </c>
      <c r="W25" s="1">
        <f t="shared" si="7"/>
        <v>5528.584941453033</v>
      </c>
      <c r="X25" s="1">
        <f t="shared" si="8"/>
        <v>232923.77108529283</v>
      </c>
    </row>
    <row r="26" spans="4:24" x14ac:dyDescent="0.3">
      <c r="D26" s="7" t="s">
        <v>13</v>
      </c>
      <c r="E26" s="8">
        <f>SUM(E2:E25)</f>
        <v>40000.000000000015</v>
      </c>
      <c r="F26" s="8">
        <f>SUM(F2:F25)</f>
        <v>2116.5341447057003</v>
      </c>
      <c r="G26" s="8">
        <f>SUM(G2:G25)</f>
        <v>42116.534144705693</v>
      </c>
      <c r="L26">
        <v>25</v>
      </c>
      <c r="M26" s="1">
        <f t="shared" si="3"/>
        <v>2256.6135407676998</v>
      </c>
      <c r="N26" s="1">
        <f t="shared" si="4"/>
        <v>59851.53222415549</v>
      </c>
      <c r="O26" s="1">
        <f t="shared" si="5"/>
        <v>62108.145764923189</v>
      </c>
      <c r="U26">
        <v>25</v>
      </c>
      <c r="V26" s="1">
        <f t="shared" si="6"/>
        <v>230142.8779764112</v>
      </c>
      <c r="W26" s="1">
        <f t="shared" si="7"/>
        <v>2780.8931088816357</v>
      </c>
      <c r="X26" s="1">
        <f t="shared" si="8"/>
        <v>232923.77108529283</v>
      </c>
    </row>
    <row r="27" spans="4:24" x14ac:dyDescent="0.3">
      <c r="L27">
        <v>26</v>
      </c>
      <c r="M27" s="1">
        <f t="shared" si="3"/>
        <v>2283.8809543853095</v>
      </c>
      <c r="N27" s="1">
        <f t="shared" si="4"/>
        <v>59824.264810537868</v>
      </c>
      <c r="O27" s="1">
        <f t="shared" si="5"/>
        <v>62108.145764923174</v>
      </c>
      <c r="V27" s="1"/>
      <c r="W27" s="1"/>
      <c r="X27" s="1"/>
    </row>
    <row r="28" spans="4:24" x14ac:dyDescent="0.3">
      <c r="L28">
        <v>27</v>
      </c>
      <c r="M28" s="1">
        <f t="shared" si="3"/>
        <v>2311.4778492507994</v>
      </c>
      <c r="N28" s="1">
        <f t="shared" si="4"/>
        <v>59796.667915672384</v>
      </c>
      <c r="O28" s="1">
        <f t="shared" si="5"/>
        <v>62108.145764923182</v>
      </c>
      <c r="U28" s="11" t="s">
        <v>17</v>
      </c>
      <c r="V28" s="12">
        <f>SUM(V2:V27)</f>
        <v>4999999.9999999991</v>
      </c>
      <c r="W28" s="12">
        <f>SUM(W2:W27)</f>
        <v>823094.27713232103</v>
      </c>
      <c r="X28" s="12">
        <f>SUM(V28:W28)</f>
        <v>5823094.2771323202</v>
      </c>
    </row>
    <row r="29" spans="4:24" x14ac:dyDescent="0.3">
      <c r="L29">
        <v>28</v>
      </c>
      <c r="M29" s="1">
        <f t="shared" si="3"/>
        <v>2339.4082065959133</v>
      </c>
      <c r="N29" s="1">
        <f t="shared" si="4"/>
        <v>59768.737558327273</v>
      </c>
      <c r="O29" s="1">
        <f t="shared" si="5"/>
        <v>62108.145764923189</v>
      </c>
      <c r="V29" s="1"/>
      <c r="W29" s="1"/>
      <c r="X29" s="1"/>
    </row>
    <row r="30" spans="4:24" x14ac:dyDescent="0.3">
      <c r="L30">
        <v>29</v>
      </c>
      <c r="M30" s="1">
        <f t="shared" si="3"/>
        <v>2367.6760557589464</v>
      </c>
      <c r="N30" s="1">
        <f t="shared" si="4"/>
        <v>59740.469709164237</v>
      </c>
      <c r="O30" s="1">
        <f t="shared" si="5"/>
        <v>62108.145764923182</v>
      </c>
      <c r="V30" s="1"/>
      <c r="W30" s="1"/>
      <c r="X30" s="1"/>
    </row>
    <row r="31" spans="4:24" x14ac:dyDescent="0.3">
      <c r="L31">
        <v>30</v>
      </c>
      <c r="M31" s="1">
        <f t="shared" si="3"/>
        <v>2396.285474766034</v>
      </c>
      <c r="N31" s="1">
        <f t="shared" si="4"/>
        <v>59711.86029015715</v>
      </c>
      <c r="O31" s="1">
        <f t="shared" si="5"/>
        <v>62108.145764923182</v>
      </c>
      <c r="V31" s="1"/>
      <c r="W31" s="1"/>
      <c r="X31" s="1"/>
    </row>
    <row r="32" spans="4:24" x14ac:dyDescent="0.3">
      <c r="L32">
        <v>31</v>
      </c>
      <c r="M32" s="1">
        <f t="shared" si="3"/>
        <v>2425.2405909194572</v>
      </c>
      <c r="N32" s="1">
        <f t="shared" si="4"/>
        <v>59682.905174003725</v>
      </c>
      <c r="O32" s="1">
        <f t="shared" si="5"/>
        <v>62108.145764923182</v>
      </c>
      <c r="V32" s="1"/>
      <c r="W32" s="1"/>
      <c r="X32" s="1"/>
    </row>
    <row r="33" spans="12:24" x14ac:dyDescent="0.3">
      <c r="L33">
        <v>32</v>
      </c>
      <c r="M33" s="1">
        <f t="shared" si="3"/>
        <v>2454.545581393068</v>
      </c>
      <c r="N33" s="1">
        <f t="shared" si="4"/>
        <v>59653.600183530114</v>
      </c>
      <c r="O33" s="1">
        <f t="shared" si="5"/>
        <v>62108.145764923182</v>
      </c>
      <c r="V33" s="1"/>
      <c r="W33" s="1"/>
      <c r="X33" s="1"/>
    </row>
    <row r="34" spans="12:24" x14ac:dyDescent="0.3">
      <c r="L34">
        <v>33</v>
      </c>
      <c r="M34" s="1">
        <f t="shared" si="3"/>
        <v>2484.2046738348999</v>
      </c>
      <c r="N34" s="1">
        <f t="shared" si="4"/>
        <v>59623.94109108828</v>
      </c>
      <c r="O34" s="1">
        <f t="shared" si="5"/>
        <v>62108.145764923182</v>
      </c>
      <c r="V34" s="1"/>
      <c r="W34" s="1"/>
      <c r="X34" s="1"/>
    </row>
    <row r="35" spans="12:24" x14ac:dyDescent="0.3">
      <c r="L35">
        <v>34</v>
      </c>
      <c r="M35" s="1">
        <f t="shared" si="3"/>
        <v>2514.2221469770716</v>
      </c>
      <c r="N35" s="1">
        <f t="shared" si="4"/>
        <v>59593.923617946115</v>
      </c>
      <c r="O35" s="1">
        <f t="shared" si="5"/>
        <v>62108.145764923189</v>
      </c>
      <c r="V35" s="1"/>
      <c r="W35" s="1"/>
      <c r="X35" s="1"/>
    </row>
    <row r="36" spans="12:24" x14ac:dyDescent="0.3">
      <c r="L36">
        <v>35</v>
      </c>
      <c r="M36" s="1">
        <f t="shared" si="3"/>
        <v>2544.6023312530451</v>
      </c>
      <c r="N36" s="1">
        <f t="shared" si="4"/>
        <v>59563.543433670136</v>
      </c>
      <c r="O36" s="1">
        <f t="shared" si="5"/>
        <v>62108.145764923182</v>
      </c>
      <c r="V36" s="1"/>
      <c r="W36" s="1"/>
      <c r="X36" s="1"/>
    </row>
    <row r="37" spans="12:24" x14ac:dyDescent="0.3">
      <c r="L37">
        <v>36</v>
      </c>
      <c r="M37" s="1">
        <f t="shared" si="3"/>
        <v>2575.3496094223519</v>
      </c>
      <c r="N37" s="1">
        <f t="shared" si="4"/>
        <v>59532.796155500837</v>
      </c>
      <c r="O37" s="1">
        <f t="shared" si="5"/>
        <v>62108.145764923189</v>
      </c>
      <c r="V37" s="1"/>
      <c r="W37" s="1"/>
      <c r="X37" s="1"/>
    </row>
    <row r="38" spans="12:24" x14ac:dyDescent="0.3">
      <c r="L38">
        <v>37</v>
      </c>
      <c r="M38" s="1">
        <f t="shared" si="3"/>
        <v>2606.4684172028719</v>
      </c>
      <c r="N38" s="1">
        <f t="shared" si="4"/>
        <v>59501.67734772031</v>
      </c>
      <c r="O38" s="1">
        <f t="shared" si="5"/>
        <v>62108.145764923182</v>
      </c>
      <c r="V38" s="1"/>
      <c r="W38" s="1"/>
      <c r="X38" s="1"/>
    </row>
    <row r="39" spans="12:24" x14ac:dyDescent="0.3">
      <c r="L39">
        <v>38</v>
      </c>
      <c r="M39" s="1">
        <f t="shared" si="3"/>
        <v>2637.9632439107409</v>
      </c>
      <c r="N39" s="1">
        <f t="shared" si="4"/>
        <v>59470.182521012444</v>
      </c>
      <c r="O39" s="1">
        <f t="shared" si="5"/>
        <v>62108.145764923189</v>
      </c>
      <c r="V39" s="1"/>
      <c r="W39" s="1"/>
      <c r="X39" s="1"/>
    </row>
    <row r="40" spans="12:24" x14ac:dyDescent="0.3">
      <c r="L40">
        <v>39</v>
      </c>
      <c r="M40" s="1">
        <f t="shared" si="3"/>
        <v>2669.838633107996</v>
      </c>
      <c r="N40" s="1">
        <f t="shared" si="4"/>
        <v>59438.307131815185</v>
      </c>
      <c r="O40" s="1">
        <f t="shared" si="5"/>
        <v>62108.145764923182</v>
      </c>
      <c r="V40" s="1"/>
      <c r="W40" s="1"/>
      <c r="X40" s="1"/>
    </row>
    <row r="41" spans="12:24" x14ac:dyDescent="0.3">
      <c r="L41">
        <v>40</v>
      </c>
      <c r="M41" s="1">
        <f t="shared" si="3"/>
        <v>2702.0991832580503</v>
      </c>
      <c r="N41" s="1">
        <f t="shared" si="4"/>
        <v>59406.046581665141</v>
      </c>
      <c r="O41" s="1">
        <f t="shared" si="5"/>
        <v>62108.145764923189</v>
      </c>
      <c r="V41" s="1"/>
      <c r="W41" s="1"/>
      <c r="X41" s="1"/>
    </row>
    <row r="42" spans="12:24" x14ac:dyDescent="0.3">
      <c r="L42">
        <v>41</v>
      </c>
      <c r="M42" s="1">
        <f t="shared" si="3"/>
        <v>2734.7495483890848</v>
      </c>
      <c r="N42" s="1">
        <f t="shared" si="4"/>
        <v>59373.3962165341</v>
      </c>
      <c r="O42" s="1">
        <f t="shared" si="5"/>
        <v>62108.145764923182</v>
      </c>
      <c r="V42" s="1"/>
      <c r="W42" s="1"/>
      <c r="X42" s="1"/>
    </row>
    <row r="43" spans="12:24" x14ac:dyDescent="0.3">
      <c r="L43">
        <v>42</v>
      </c>
      <c r="M43" s="1">
        <f t="shared" si="3"/>
        <v>2767.7944387654534</v>
      </c>
      <c r="N43" s="1">
        <f t="shared" si="4"/>
        <v>59340.351326157732</v>
      </c>
      <c r="O43" s="1">
        <f t="shared" si="5"/>
        <v>62108.145764923189</v>
      </c>
      <c r="V43" s="1"/>
      <c r="W43" s="1"/>
      <c r="X43" s="1"/>
    </row>
    <row r="44" spans="12:24" x14ac:dyDescent="0.3">
      <c r="L44">
        <v>43</v>
      </c>
      <c r="M44" s="1">
        <f t="shared" si="3"/>
        <v>2801.2386215672032</v>
      </c>
      <c r="N44" s="1">
        <f t="shared" si="4"/>
        <v>59306.907143355973</v>
      </c>
      <c r="O44" s="1">
        <f t="shared" si="5"/>
        <v>62108.145764923174</v>
      </c>
      <c r="V44" s="1"/>
      <c r="W44" s="1"/>
      <c r="X44" s="1"/>
    </row>
    <row r="45" spans="12:24" x14ac:dyDescent="0.3">
      <c r="L45">
        <v>44</v>
      </c>
      <c r="M45" s="1">
        <f t="shared" si="3"/>
        <v>2835.0869215778057</v>
      </c>
      <c r="N45" s="1">
        <f t="shared" si="4"/>
        <v>59273.058843345381</v>
      </c>
      <c r="O45" s="1">
        <f t="shared" si="5"/>
        <v>62108.145764923189</v>
      </c>
      <c r="V45" s="1"/>
      <c r="W45" s="1"/>
      <c r="X45" s="1"/>
    </row>
    <row r="46" spans="12:24" x14ac:dyDescent="0.3">
      <c r="L46">
        <v>45</v>
      </c>
      <c r="M46" s="1">
        <f t="shared" si="3"/>
        <v>2869.3442218802047</v>
      </c>
      <c r="N46" s="1">
        <f t="shared" si="4"/>
        <v>59238.80154304298</v>
      </c>
      <c r="O46" s="1">
        <f t="shared" si="5"/>
        <v>62108.145764923189</v>
      </c>
      <c r="V46" s="1"/>
      <c r="W46" s="1"/>
      <c r="X46" s="1"/>
    </row>
    <row r="47" spans="12:24" x14ac:dyDescent="0.3">
      <c r="L47">
        <v>46</v>
      </c>
      <c r="M47" s="1">
        <f t="shared" si="3"/>
        <v>2904.0154645612574</v>
      </c>
      <c r="N47" s="1">
        <f t="shared" si="4"/>
        <v>59204.130300361918</v>
      </c>
      <c r="O47" s="1">
        <f t="shared" si="5"/>
        <v>62108.145764923174</v>
      </c>
      <c r="V47" s="1"/>
      <c r="W47" s="1"/>
      <c r="X47" s="1"/>
    </row>
    <row r="48" spans="12:24" x14ac:dyDescent="0.3">
      <c r="L48">
        <v>47</v>
      </c>
      <c r="M48" s="1">
        <f t="shared" si="3"/>
        <v>2939.1056514247052</v>
      </c>
      <c r="N48" s="1">
        <f t="shared" si="4"/>
        <v>59169.040113498486</v>
      </c>
      <c r="O48" s="1">
        <f t="shared" si="5"/>
        <v>62108.145764923189</v>
      </c>
      <c r="V48" s="1"/>
      <c r="W48" s="1"/>
      <c r="X48" s="1"/>
    </row>
    <row r="49" spans="12:24" x14ac:dyDescent="0.3">
      <c r="L49">
        <v>48</v>
      </c>
      <c r="M49" s="1">
        <f t="shared" si="3"/>
        <v>2974.6198447127535</v>
      </c>
      <c r="N49" s="1">
        <f t="shared" si="4"/>
        <v>59133.525920210428</v>
      </c>
      <c r="O49" s="1">
        <f t="shared" si="5"/>
        <v>62108.145764923182</v>
      </c>
      <c r="V49" s="1"/>
      <c r="W49" s="1"/>
      <c r="X49" s="1"/>
    </row>
    <row r="50" spans="12:24" x14ac:dyDescent="0.3">
      <c r="L50">
        <v>49</v>
      </c>
      <c r="M50" s="1">
        <f t="shared" si="3"/>
        <v>3010.5631678363666</v>
      </c>
      <c r="N50" s="1">
        <f t="shared" si="4"/>
        <v>59097.582597086825</v>
      </c>
      <c r="O50" s="1">
        <f t="shared" si="5"/>
        <v>62108.145764923189</v>
      </c>
      <c r="V50" s="1"/>
      <c r="W50" s="1"/>
      <c r="X50" s="1"/>
    </row>
    <row r="51" spans="12:24" x14ac:dyDescent="0.3">
      <c r="L51">
        <v>50</v>
      </c>
      <c r="M51" s="1">
        <f t="shared" si="3"/>
        <v>3046.9408061143899</v>
      </c>
      <c r="N51" s="1">
        <f t="shared" si="4"/>
        <v>59061.204958808798</v>
      </c>
      <c r="O51" s="1">
        <f t="shared" si="5"/>
        <v>62108.145764923189</v>
      </c>
      <c r="V51" s="1"/>
      <c r="W51" s="1"/>
      <c r="X51" s="1"/>
    </row>
    <row r="52" spans="12:24" x14ac:dyDescent="0.3">
      <c r="L52">
        <v>51</v>
      </c>
      <c r="M52" s="1">
        <f t="shared" si="3"/>
        <v>3083.7580075216042</v>
      </c>
      <c r="N52" s="1">
        <f t="shared" si="4"/>
        <v>59024.387757401571</v>
      </c>
      <c r="O52" s="1">
        <f t="shared" si="5"/>
        <v>62108.145764923174</v>
      </c>
      <c r="V52" s="1"/>
      <c r="W52" s="1"/>
      <c r="X52" s="1"/>
    </row>
    <row r="53" spans="12:24" x14ac:dyDescent="0.3">
      <c r="L53">
        <v>52</v>
      </c>
      <c r="M53" s="1">
        <f t="shared" si="3"/>
        <v>3121.0200834458242</v>
      </c>
      <c r="N53" s="1">
        <f t="shared" si="4"/>
        <v>58987.125681477366</v>
      </c>
      <c r="O53" s="1">
        <f t="shared" si="5"/>
        <v>62108.145764923189</v>
      </c>
      <c r="V53" s="1"/>
      <c r="W53" s="1"/>
      <c r="X53" s="1"/>
    </row>
    <row r="54" spans="12:24" x14ac:dyDescent="0.3">
      <c r="L54">
        <v>53</v>
      </c>
      <c r="M54" s="1">
        <f t="shared" si="3"/>
        <v>3158.7324094541282</v>
      </c>
      <c r="N54" s="1">
        <f t="shared" si="4"/>
        <v>58949.413355469056</v>
      </c>
      <c r="O54" s="1">
        <f t="shared" si="5"/>
        <v>62108.145764923182</v>
      </c>
      <c r="V54" s="1"/>
      <c r="W54" s="1"/>
      <c r="X54" s="1"/>
    </row>
    <row r="55" spans="12:24" x14ac:dyDescent="0.3">
      <c r="L55">
        <v>54</v>
      </c>
      <c r="M55" s="1">
        <f t="shared" si="3"/>
        <v>3196.900426068366</v>
      </c>
      <c r="N55" s="1">
        <f t="shared" si="4"/>
        <v>58911.245338854824</v>
      </c>
      <c r="O55" s="1">
        <f t="shared" si="5"/>
        <v>62108.145764923189</v>
      </c>
      <c r="V55" s="1"/>
      <c r="W55" s="1"/>
      <c r="X55" s="1"/>
    </row>
    <row r="56" spans="12:24" x14ac:dyDescent="0.3">
      <c r="L56">
        <v>55</v>
      </c>
      <c r="M56" s="1">
        <f t="shared" si="3"/>
        <v>3235.5296395500245</v>
      </c>
      <c r="N56" s="1">
        <f t="shared" si="4"/>
        <v>58872.616125373163</v>
      </c>
      <c r="O56" s="1">
        <f t="shared" si="5"/>
        <v>62108.145764923189</v>
      </c>
      <c r="V56" s="1"/>
      <c r="W56" s="1"/>
      <c r="X56" s="1"/>
    </row>
    <row r="57" spans="12:24" x14ac:dyDescent="0.3">
      <c r="L57">
        <v>56</v>
      </c>
      <c r="M57" s="1">
        <f t="shared" si="3"/>
        <v>3274.6256226945879</v>
      </c>
      <c r="N57" s="1">
        <f t="shared" si="4"/>
        <v>58833.520142228597</v>
      </c>
      <c r="O57" s="1">
        <f t="shared" si="5"/>
        <v>62108.145764923189</v>
      </c>
      <c r="V57" s="1"/>
      <c r="W57" s="1"/>
      <c r="X57" s="1"/>
    </row>
    <row r="58" spans="12:24" x14ac:dyDescent="0.3">
      <c r="L58">
        <v>57</v>
      </c>
      <c r="M58" s="1">
        <f t="shared" si="3"/>
        <v>3314.1940156354813</v>
      </c>
      <c r="N58" s="1">
        <f t="shared" si="4"/>
        <v>58793.951749287706</v>
      </c>
      <c r="O58" s="1">
        <f t="shared" si="5"/>
        <v>62108.145764923189</v>
      </c>
      <c r="V58" s="1"/>
      <c r="W58" s="1"/>
      <c r="X58" s="1"/>
    </row>
    <row r="59" spans="12:24" x14ac:dyDescent="0.3">
      <c r="L59">
        <v>58</v>
      </c>
      <c r="M59" s="1">
        <f t="shared" si="3"/>
        <v>3354.2405266577416</v>
      </c>
      <c r="N59" s="1">
        <f t="shared" si="4"/>
        <v>58753.905238265448</v>
      </c>
      <c r="O59" s="1">
        <f t="shared" si="5"/>
        <v>62108.145764923189</v>
      </c>
      <c r="V59" s="1"/>
      <c r="W59" s="1"/>
      <c r="X59" s="1"/>
    </row>
    <row r="60" spans="12:24" x14ac:dyDescent="0.3">
      <c r="L60">
        <v>59</v>
      </c>
      <c r="M60" s="1">
        <f t="shared" si="3"/>
        <v>3394.770933021523</v>
      </c>
      <c r="N60" s="1">
        <f t="shared" si="4"/>
        <v>58713.374831901659</v>
      </c>
      <c r="O60" s="1">
        <f t="shared" si="5"/>
        <v>62108.145764923182</v>
      </c>
      <c r="V60" s="1"/>
      <c r="W60" s="1"/>
      <c r="X60" s="1"/>
    </row>
    <row r="61" spans="12:24" x14ac:dyDescent="0.3">
      <c r="L61">
        <v>60</v>
      </c>
      <c r="M61" s="1">
        <f t="shared" si="3"/>
        <v>3435.7910817955335</v>
      </c>
      <c r="N61" s="1">
        <f t="shared" si="4"/>
        <v>58672.354683127654</v>
      </c>
      <c r="O61" s="1">
        <f t="shared" si="5"/>
        <v>62108.145764923189</v>
      </c>
      <c r="V61" s="1"/>
      <c r="W61" s="1"/>
      <c r="X61" s="1"/>
    </row>
    <row r="62" spans="12:24" x14ac:dyDescent="0.3">
      <c r="L62">
        <v>61</v>
      </c>
      <c r="M62" s="1">
        <f t="shared" si="3"/>
        <v>3477.3068907005636</v>
      </c>
      <c r="N62" s="1">
        <f t="shared" si="4"/>
        <v>58630.838874222616</v>
      </c>
      <c r="O62" s="1">
        <f t="shared" si="5"/>
        <v>62108.145764923182</v>
      </c>
      <c r="V62" s="1"/>
      <c r="W62" s="1"/>
      <c r="X62" s="1"/>
    </row>
    <row r="63" spans="12:24" x14ac:dyDescent="0.3">
      <c r="L63">
        <v>62</v>
      </c>
      <c r="M63" s="1">
        <f t="shared" si="3"/>
        <v>3519.3243489631946</v>
      </c>
      <c r="N63" s="1">
        <f t="shared" si="4"/>
        <v>58588.821415959988</v>
      </c>
      <c r="O63" s="1">
        <f t="shared" si="5"/>
        <v>62108.145764923182</v>
      </c>
      <c r="V63" s="1"/>
      <c r="W63" s="1"/>
      <c r="X63" s="1"/>
    </row>
    <row r="64" spans="12:24" x14ac:dyDescent="0.3">
      <c r="L64">
        <v>63</v>
      </c>
      <c r="M64" s="1">
        <f t="shared" si="3"/>
        <v>3561.8495181798335</v>
      </c>
      <c r="N64" s="1">
        <f t="shared" si="4"/>
        <v>58546.296246743354</v>
      </c>
      <c r="O64" s="1">
        <f t="shared" si="5"/>
        <v>62108.145764923189</v>
      </c>
      <c r="V64" s="1"/>
      <c r="W64" s="1"/>
      <c r="X64" s="1"/>
    </row>
    <row r="65" spans="12:24" x14ac:dyDescent="0.3">
      <c r="L65">
        <v>64</v>
      </c>
      <c r="M65" s="1">
        <f t="shared" si="3"/>
        <v>3604.8885331911738</v>
      </c>
      <c r="N65" s="1">
        <f t="shared" si="4"/>
        <v>58503.257231732015</v>
      </c>
      <c r="O65" s="1">
        <f t="shared" si="5"/>
        <v>62108.145764923189</v>
      </c>
      <c r="V65" s="1"/>
      <c r="W65" s="1"/>
      <c r="X65" s="1"/>
    </row>
    <row r="66" spans="12:24" x14ac:dyDescent="0.3">
      <c r="L66">
        <v>65</v>
      </c>
      <c r="M66" s="1">
        <f t="shared" si="3"/>
        <v>3648.4476029672337</v>
      </c>
      <c r="N66" s="1">
        <f t="shared" si="4"/>
        <v>58459.698161955945</v>
      </c>
      <c r="O66" s="1">
        <f t="shared" si="5"/>
        <v>62108.145764923182</v>
      </c>
      <c r="V66" s="1"/>
      <c r="W66" s="1"/>
      <c r="X66" s="1"/>
    </row>
    <row r="67" spans="12:24" x14ac:dyDescent="0.3">
      <c r="L67">
        <v>66</v>
      </c>
      <c r="M67" s="1">
        <f t="shared" ref="M67:M130" si="9">PPMT($J$5/12,L67,$J$6*12,$J$4-$J$3)</f>
        <v>3692.5330115030865</v>
      </c>
      <c r="N67" s="1">
        <f t="shared" ref="N67:N130" si="10">IPMT($J$5/12,L67,$J$6*12,$J$4-$J$3)</f>
        <v>58415.6127534201</v>
      </c>
      <c r="O67" s="1">
        <f t="shared" ref="O67:O130" si="11">M67+N67</f>
        <v>62108.145764923189</v>
      </c>
      <c r="V67" s="1"/>
      <c r="W67" s="1"/>
      <c r="X67" s="1"/>
    </row>
    <row r="68" spans="12:24" x14ac:dyDescent="0.3">
      <c r="L68">
        <v>67</v>
      </c>
      <c r="M68" s="1">
        <f t="shared" si="9"/>
        <v>3737.1511187254159</v>
      </c>
      <c r="N68" s="1">
        <f t="shared" si="10"/>
        <v>58370.994646197774</v>
      </c>
      <c r="O68" s="1">
        <f t="shared" si="11"/>
        <v>62108.145764923189</v>
      </c>
      <c r="V68" s="1"/>
      <c r="W68" s="1"/>
      <c r="X68" s="1"/>
    </row>
    <row r="69" spans="12:24" x14ac:dyDescent="0.3">
      <c r="L69">
        <v>68</v>
      </c>
      <c r="M69" s="1">
        <f t="shared" si="9"/>
        <v>3782.3083614100156</v>
      </c>
      <c r="N69" s="1">
        <f t="shared" si="10"/>
        <v>58325.837403513178</v>
      </c>
      <c r="O69" s="1">
        <f t="shared" si="11"/>
        <v>62108.145764923196</v>
      </c>
      <c r="V69" s="1"/>
      <c r="W69" s="1"/>
      <c r="X69" s="1"/>
    </row>
    <row r="70" spans="12:24" x14ac:dyDescent="0.3">
      <c r="L70">
        <v>69</v>
      </c>
      <c r="M70" s="1">
        <f t="shared" si="9"/>
        <v>3828.0112541103854</v>
      </c>
      <c r="N70" s="1">
        <f t="shared" si="10"/>
        <v>58280.134510812801</v>
      </c>
      <c r="O70" s="1">
        <f t="shared" si="11"/>
        <v>62108.145764923189</v>
      </c>
      <c r="V70" s="1"/>
      <c r="W70" s="1"/>
      <c r="X70" s="1"/>
    </row>
    <row r="71" spans="12:24" x14ac:dyDescent="0.3">
      <c r="L71">
        <v>70</v>
      </c>
      <c r="M71" s="1">
        <f t="shared" si="9"/>
        <v>3874.2663900975526</v>
      </c>
      <c r="N71" s="1">
        <f t="shared" si="10"/>
        <v>58233.879374825636</v>
      </c>
      <c r="O71" s="1">
        <f t="shared" si="11"/>
        <v>62108.145764923189</v>
      </c>
      <c r="V71" s="1"/>
      <c r="W71" s="1"/>
      <c r="X71" s="1"/>
    </row>
    <row r="72" spans="12:24" x14ac:dyDescent="0.3">
      <c r="L72">
        <v>71</v>
      </c>
      <c r="M72" s="1">
        <f t="shared" si="9"/>
        <v>3921.0804423112322</v>
      </c>
      <c r="N72" s="1">
        <f t="shared" si="10"/>
        <v>58187.065322611961</v>
      </c>
      <c r="O72" s="1">
        <f t="shared" si="11"/>
        <v>62108.145764923196</v>
      </c>
      <c r="V72" s="1"/>
      <c r="W72" s="1"/>
      <c r="X72" s="1"/>
    </row>
    <row r="73" spans="12:24" x14ac:dyDescent="0.3">
      <c r="L73">
        <v>72</v>
      </c>
      <c r="M73" s="1">
        <f t="shared" si="9"/>
        <v>3968.4601643224928</v>
      </c>
      <c r="N73" s="1">
        <f t="shared" si="10"/>
        <v>58139.685600600686</v>
      </c>
      <c r="O73" s="1">
        <f t="shared" si="11"/>
        <v>62108.145764923182</v>
      </c>
      <c r="V73" s="1"/>
      <c r="W73" s="1"/>
      <c r="X73" s="1"/>
    </row>
    <row r="74" spans="12:24" x14ac:dyDescent="0.3">
      <c r="L74">
        <v>73</v>
      </c>
      <c r="M74" s="1">
        <f t="shared" si="9"/>
        <v>4016.4123913080562</v>
      </c>
      <c r="N74" s="1">
        <f t="shared" si="10"/>
        <v>58091.733373615127</v>
      </c>
      <c r="O74" s="1">
        <f t="shared" si="11"/>
        <v>62108.145764923182</v>
      </c>
      <c r="V74" s="1"/>
      <c r="W74" s="1"/>
      <c r="X74" s="1"/>
    </row>
    <row r="75" spans="12:24" x14ac:dyDescent="0.3">
      <c r="L75">
        <v>74</v>
      </c>
      <c r="M75" s="1">
        <f t="shared" si="9"/>
        <v>4064.9440410363618</v>
      </c>
      <c r="N75" s="1">
        <f t="shared" si="10"/>
        <v>58043.201723886821</v>
      </c>
      <c r="O75" s="1">
        <f t="shared" si="11"/>
        <v>62108.145764923182</v>
      </c>
      <c r="V75" s="1"/>
      <c r="W75" s="1"/>
      <c r="X75" s="1"/>
    </row>
    <row r="76" spans="12:24" x14ac:dyDescent="0.3">
      <c r="L76">
        <v>75</v>
      </c>
      <c r="M76" s="1">
        <f t="shared" si="9"/>
        <v>4114.0621148655518</v>
      </c>
      <c r="N76" s="1">
        <f t="shared" si="10"/>
        <v>57994.083650057633</v>
      </c>
      <c r="O76" s="1">
        <f t="shared" si="11"/>
        <v>62108.145764923189</v>
      </c>
      <c r="V76" s="1"/>
      <c r="W76" s="1"/>
      <c r="X76" s="1"/>
    </row>
    <row r="77" spans="12:24" x14ac:dyDescent="0.3">
      <c r="L77">
        <v>76</v>
      </c>
      <c r="M77" s="1">
        <f t="shared" si="9"/>
        <v>4163.7736987535109</v>
      </c>
      <c r="N77" s="1">
        <f t="shared" si="10"/>
        <v>57944.372066169679</v>
      </c>
      <c r="O77" s="1">
        <f t="shared" si="11"/>
        <v>62108.145764923189</v>
      </c>
      <c r="V77" s="1"/>
      <c r="W77" s="1"/>
      <c r="X77" s="1"/>
    </row>
    <row r="78" spans="12:24" x14ac:dyDescent="0.3">
      <c r="L78">
        <v>77</v>
      </c>
      <c r="M78" s="1">
        <f t="shared" si="9"/>
        <v>4214.0859642801142</v>
      </c>
      <c r="N78" s="1">
        <f t="shared" si="10"/>
        <v>57894.059800643074</v>
      </c>
      <c r="O78" s="1">
        <f t="shared" si="11"/>
        <v>62108.145764923189</v>
      </c>
      <c r="V78" s="1"/>
      <c r="W78" s="1"/>
      <c r="X78" s="1"/>
    </row>
    <row r="79" spans="12:24" x14ac:dyDescent="0.3">
      <c r="L79">
        <v>78</v>
      </c>
      <c r="M79" s="1">
        <f t="shared" si="9"/>
        <v>4265.0061696818329</v>
      </c>
      <c r="N79" s="1">
        <f t="shared" si="10"/>
        <v>57843.139595241351</v>
      </c>
      <c r="O79" s="1">
        <f t="shared" si="11"/>
        <v>62108.145764923182</v>
      </c>
      <c r="V79" s="1"/>
      <c r="W79" s="1"/>
      <c r="X79" s="1"/>
    </row>
    <row r="80" spans="12:24" x14ac:dyDescent="0.3">
      <c r="L80">
        <v>79</v>
      </c>
      <c r="M80" s="1">
        <f t="shared" si="9"/>
        <v>4316.5416608988226</v>
      </c>
      <c r="N80" s="1">
        <f t="shared" si="10"/>
        <v>57791.604104024365</v>
      </c>
      <c r="O80" s="1">
        <f t="shared" si="11"/>
        <v>62108.145764923189</v>
      </c>
      <c r="V80" s="1"/>
      <c r="W80" s="1"/>
      <c r="X80" s="1"/>
    </row>
    <row r="81" spans="12:24" x14ac:dyDescent="0.3">
      <c r="L81">
        <v>80</v>
      </c>
      <c r="M81" s="1">
        <f t="shared" si="9"/>
        <v>4368.6998726346819</v>
      </c>
      <c r="N81" s="1">
        <f t="shared" si="10"/>
        <v>57739.445892288502</v>
      </c>
      <c r="O81" s="1">
        <f t="shared" si="11"/>
        <v>62108.145764923182</v>
      </c>
      <c r="V81" s="1"/>
      <c r="W81" s="1"/>
      <c r="X81" s="1"/>
    </row>
    <row r="82" spans="12:24" x14ac:dyDescent="0.3">
      <c r="L82">
        <v>81</v>
      </c>
      <c r="M82" s="1">
        <f t="shared" si="9"/>
        <v>4421.4883294290175</v>
      </c>
      <c r="N82" s="1">
        <f t="shared" si="10"/>
        <v>57686.657435494169</v>
      </c>
      <c r="O82" s="1">
        <f t="shared" si="11"/>
        <v>62108.145764923189</v>
      </c>
      <c r="V82" s="1"/>
      <c r="W82" s="1"/>
      <c r="X82" s="1"/>
    </row>
    <row r="83" spans="12:24" x14ac:dyDescent="0.3">
      <c r="L83">
        <v>82</v>
      </c>
      <c r="M83" s="1">
        <f t="shared" si="9"/>
        <v>4474.9146467429518</v>
      </c>
      <c r="N83" s="1">
        <f t="shared" si="10"/>
        <v>57633.231118180236</v>
      </c>
      <c r="O83" s="1">
        <f t="shared" si="11"/>
        <v>62108.145764923189</v>
      </c>
      <c r="V83" s="1"/>
      <c r="W83" s="1"/>
      <c r="X83" s="1"/>
    </row>
    <row r="84" spans="12:24" x14ac:dyDescent="0.3">
      <c r="L84">
        <v>83</v>
      </c>
      <c r="M84" s="1">
        <f t="shared" si="9"/>
        <v>4528.9865320577637</v>
      </c>
      <c r="N84" s="1">
        <f t="shared" si="10"/>
        <v>57579.159232865422</v>
      </c>
      <c r="O84" s="1">
        <f t="shared" si="11"/>
        <v>62108.145764923189</v>
      </c>
      <c r="V84" s="1"/>
      <c r="W84" s="1"/>
      <c r="X84" s="1"/>
    </row>
    <row r="85" spans="12:24" x14ac:dyDescent="0.3">
      <c r="L85">
        <v>84</v>
      </c>
      <c r="M85" s="1">
        <f t="shared" si="9"/>
        <v>4583.711785986794</v>
      </c>
      <c r="N85" s="1">
        <f t="shared" si="10"/>
        <v>57524.433978936395</v>
      </c>
      <c r="O85" s="1">
        <f t="shared" si="11"/>
        <v>62108.145764923189</v>
      </c>
      <c r="V85" s="1"/>
      <c r="W85" s="1"/>
      <c r="X85" s="1"/>
    </row>
    <row r="86" spans="12:24" x14ac:dyDescent="0.3">
      <c r="L86">
        <v>85</v>
      </c>
      <c r="M86" s="1">
        <f t="shared" si="9"/>
        <v>4639.0983034008013</v>
      </c>
      <c r="N86" s="1">
        <f t="shared" si="10"/>
        <v>57469.047461522387</v>
      </c>
      <c r="O86" s="1">
        <f t="shared" si="11"/>
        <v>62108.145764923189</v>
      </c>
      <c r="V86" s="1"/>
      <c r="W86" s="1"/>
      <c r="X86" s="1"/>
    </row>
    <row r="87" spans="12:24" x14ac:dyDescent="0.3">
      <c r="L87">
        <v>86</v>
      </c>
      <c r="M87" s="1">
        <f t="shared" si="9"/>
        <v>4695.1540745668954</v>
      </c>
      <c r="N87" s="1">
        <f t="shared" si="10"/>
        <v>57412.991690356292</v>
      </c>
      <c r="O87" s="1">
        <f t="shared" si="11"/>
        <v>62108.145764923189</v>
      </c>
      <c r="V87" s="1"/>
      <c r="W87" s="1"/>
      <c r="X87" s="1"/>
    </row>
    <row r="88" spans="12:24" x14ac:dyDescent="0.3">
      <c r="L88">
        <v>87</v>
      </c>
      <c r="M88" s="1">
        <f t="shared" si="9"/>
        <v>4751.8871863012455</v>
      </c>
      <c r="N88" s="1">
        <f t="shared" si="10"/>
        <v>57356.258578621935</v>
      </c>
      <c r="O88" s="1">
        <f t="shared" si="11"/>
        <v>62108.145764923182</v>
      </c>
      <c r="V88" s="1"/>
      <c r="W88" s="1"/>
      <c r="X88" s="1"/>
    </row>
    <row r="89" spans="12:24" x14ac:dyDescent="0.3">
      <c r="L89">
        <v>88</v>
      </c>
      <c r="M89" s="1">
        <f t="shared" si="9"/>
        <v>4809.3058231357172</v>
      </c>
      <c r="N89" s="1">
        <f t="shared" si="10"/>
        <v>57298.839941787468</v>
      </c>
      <c r="O89" s="1">
        <f t="shared" si="11"/>
        <v>62108.145764923189</v>
      </c>
      <c r="V89" s="1"/>
      <c r="W89" s="1"/>
      <c r="X89" s="1"/>
    </row>
    <row r="90" spans="12:24" x14ac:dyDescent="0.3">
      <c r="L90">
        <v>89</v>
      </c>
      <c r="M90" s="1">
        <f t="shared" si="9"/>
        <v>4867.4182684986072</v>
      </c>
      <c r="N90" s="1">
        <f t="shared" si="10"/>
        <v>57240.727496424581</v>
      </c>
      <c r="O90" s="1">
        <f t="shared" si="11"/>
        <v>62108.145764923189</v>
      </c>
      <c r="V90" s="1"/>
      <c r="W90" s="1"/>
      <c r="X90" s="1"/>
    </row>
    <row r="91" spans="12:24" x14ac:dyDescent="0.3">
      <c r="L91">
        <v>90</v>
      </c>
      <c r="M91" s="1">
        <f t="shared" si="9"/>
        <v>4926.2329059096328</v>
      </c>
      <c r="N91" s="1">
        <f t="shared" si="10"/>
        <v>57181.912859013551</v>
      </c>
      <c r="O91" s="1">
        <f t="shared" si="11"/>
        <v>62108.145764923182</v>
      </c>
      <c r="V91" s="1"/>
      <c r="W91" s="1"/>
      <c r="X91" s="1"/>
    </row>
    <row r="92" spans="12:24" x14ac:dyDescent="0.3">
      <c r="L92">
        <v>91</v>
      </c>
      <c r="M92" s="1">
        <f t="shared" si="9"/>
        <v>4985.7582201893729</v>
      </c>
      <c r="N92" s="1">
        <f t="shared" si="10"/>
        <v>57122.387544733814</v>
      </c>
      <c r="O92" s="1">
        <f t="shared" si="11"/>
        <v>62108.145764923189</v>
      </c>
      <c r="V92" s="1"/>
      <c r="W92" s="1"/>
      <c r="X92" s="1"/>
    </row>
    <row r="93" spans="12:24" x14ac:dyDescent="0.3">
      <c r="L93">
        <v>92</v>
      </c>
      <c r="M93" s="1">
        <f t="shared" si="9"/>
        <v>5046.0027986833284</v>
      </c>
      <c r="N93" s="1">
        <f t="shared" si="10"/>
        <v>57062.142966239859</v>
      </c>
      <c r="O93" s="1">
        <f t="shared" si="11"/>
        <v>62108.145764923189</v>
      </c>
      <c r="V93" s="1"/>
      <c r="W93" s="1"/>
      <c r="X93" s="1"/>
    </row>
    <row r="94" spans="12:24" x14ac:dyDescent="0.3">
      <c r="L94">
        <v>93</v>
      </c>
      <c r="M94" s="1">
        <f t="shared" si="9"/>
        <v>5106.9753325007523</v>
      </c>
      <c r="N94" s="1">
        <f t="shared" si="10"/>
        <v>57001.170432422441</v>
      </c>
      <c r="O94" s="1">
        <f t="shared" si="11"/>
        <v>62108.145764923196</v>
      </c>
      <c r="V94" s="1"/>
      <c r="W94" s="1"/>
      <c r="X94" s="1"/>
    </row>
    <row r="95" spans="12:24" x14ac:dyDescent="0.3">
      <c r="L95">
        <v>94</v>
      </c>
      <c r="M95" s="1">
        <f t="shared" si="9"/>
        <v>5168.6846177684702</v>
      </c>
      <c r="N95" s="1">
        <f t="shared" si="10"/>
        <v>56939.461147154718</v>
      </c>
      <c r="O95" s="1">
        <f t="shared" si="11"/>
        <v>62108.145764923189</v>
      </c>
      <c r="V95" s="1"/>
      <c r="W95" s="1"/>
      <c r="X95" s="1"/>
    </row>
    <row r="96" spans="12:24" x14ac:dyDescent="0.3">
      <c r="L96">
        <v>95</v>
      </c>
      <c r="M96" s="1">
        <f t="shared" si="9"/>
        <v>5231.1395568998378</v>
      </c>
      <c r="N96" s="1">
        <f t="shared" si="10"/>
        <v>56877.006208023355</v>
      </c>
      <c r="O96" s="1">
        <f t="shared" si="11"/>
        <v>62108.145764923189</v>
      </c>
      <c r="V96" s="1"/>
      <c r="W96" s="1"/>
      <c r="X96" s="1"/>
    </row>
    <row r="97" spans="12:24" x14ac:dyDescent="0.3">
      <c r="L97">
        <v>96</v>
      </c>
      <c r="M97" s="1">
        <f t="shared" si="9"/>
        <v>5294.3491598790451</v>
      </c>
      <c r="N97" s="1">
        <f t="shared" si="10"/>
        <v>56813.796605044139</v>
      </c>
      <c r="O97" s="1">
        <f t="shared" si="11"/>
        <v>62108.145764923182</v>
      </c>
      <c r="V97" s="1"/>
      <c r="W97" s="1"/>
      <c r="X97" s="1"/>
    </row>
    <row r="98" spans="12:24" x14ac:dyDescent="0.3">
      <c r="L98">
        <v>97</v>
      </c>
      <c r="M98" s="1">
        <f t="shared" si="9"/>
        <v>5358.3225455609172</v>
      </c>
      <c r="N98" s="1">
        <f t="shared" si="10"/>
        <v>56749.823219362268</v>
      </c>
      <c r="O98" s="1">
        <f t="shared" si="11"/>
        <v>62108.145764923189</v>
      </c>
      <c r="V98" s="1"/>
      <c r="W98" s="1"/>
      <c r="X98" s="1"/>
    </row>
    <row r="99" spans="12:24" x14ac:dyDescent="0.3">
      <c r="L99">
        <v>98</v>
      </c>
      <c r="M99" s="1">
        <f t="shared" si="9"/>
        <v>5423.068942986446</v>
      </c>
      <c r="N99" s="1">
        <f t="shared" si="10"/>
        <v>56685.076821936738</v>
      </c>
      <c r="O99" s="1">
        <f t="shared" si="11"/>
        <v>62108.145764923182</v>
      </c>
      <c r="V99" s="1"/>
      <c r="W99" s="1"/>
      <c r="X99" s="1"/>
    </row>
    <row r="100" spans="12:24" x14ac:dyDescent="0.3">
      <c r="L100">
        <v>99</v>
      </c>
      <c r="M100" s="1">
        <f t="shared" si="9"/>
        <v>5488.5976927141965</v>
      </c>
      <c r="N100" s="1">
        <f t="shared" si="10"/>
        <v>56619.548072208985</v>
      </c>
      <c r="O100" s="1">
        <f t="shared" si="11"/>
        <v>62108.145764923182</v>
      </c>
      <c r="V100" s="1"/>
      <c r="W100" s="1"/>
      <c r="X100" s="1"/>
    </row>
    <row r="101" spans="12:24" x14ac:dyDescent="0.3">
      <c r="L101">
        <v>100</v>
      </c>
      <c r="M101" s="1">
        <f t="shared" si="9"/>
        <v>5554.9182481678272</v>
      </c>
      <c r="N101" s="1">
        <f t="shared" si="10"/>
        <v>56553.22751675536</v>
      </c>
      <c r="O101" s="1">
        <f t="shared" si="11"/>
        <v>62108.145764923189</v>
      </c>
      <c r="V101" s="1"/>
      <c r="W101" s="1"/>
      <c r="X101" s="1"/>
    </row>
    <row r="102" spans="12:24" x14ac:dyDescent="0.3">
      <c r="L102">
        <v>101</v>
      </c>
      <c r="M102" s="1">
        <f t="shared" si="9"/>
        <v>5622.0401769998562</v>
      </c>
      <c r="N102" s="1">
        <f t="shared" si="10"/>
        <v>56486.105587923324</v>
      </c>
      <c r="O102" s="1">
        <f t="shared" si="11"/>
        <v>62108.145764923182</v>
      </c>
      <c r="V102" s="1"/>
      <c r="W102" s="1"/>
      <c r="X102" s="1"/>
    </row>
    <row r="103" spans="12:24" x14ac:dyDescent="0.3">
      <c r="L103">
        <v>102</v>
      </c>
      <c r="M103" s="1">
        <f t="shared" si="9"/>
        <v>5689.9731624719352</v>
      </c>
      <c r="N103" s="1">
        <f t="shared" si="10"/>
        <v>56418.172602451246</v>
      </c>
      <c r="O103" s="1">
        <f t="shared" si="11"/>
        <v>62108.145764923182</v>
      </c>
      <c r="V103" s="1"/>
      <c r="W103" s="1"/>
      <c r="X103" s="1"/>
    </row>
    <row r="104" spans="12:24" x14ac:dyDescent="0.3">
      <c r="L104">
        <v>103</v>
      </c>
      <c r="M104" s="1">
        <f t="shared" si="9"/>
        <v>5758.7270048518058</v>
      </c>
      <c r="N104" s="1">
        <f t="shared" si="10"/>
        <v>56349.418760071385</v>
      </c>
      <c r="O104" s="1">
        <f t="shared" si="11"/>
        <v>62108.145764923189</v>
      </c>
      <c r="V104" s="1"/>
      <c r="W104" s="1"/>
      <c r="X104" s="1"/>
    </row>
    <row r="105" spans="12:24" x14ac:dyDescent="0.3">
      <c r="L105">
        <v>104</v>
      </c>
      <c r="M105" s="1">
        <f t="shared" si="9"/>
        <v>5828.3116228270992</v>
      </c>
      <c r="N105" s="1">
        <f t="shared" si="10"/>
        <v>56279.834142096086</v>
      </c>
      <c r="O105" s="1">
        <f t="shared" si="11"/>
        <v>62108.145764923189</v>
      </c>
      <c r="V105" s="1"/>
      <c r="W105" s="1"/>
      <c r="X105" s="1"/>
    </row>
    <row r="106" spans="12:24" x14ac:dyDescent="0.3">
      <c r="L106">
        <v>105</v>
      </c>
      <c r="M106" s="1">
        <f t="shared" si="9"/>
        <v>5898.7370549362613</v>
      </c>
      <c r="N106" s="1">
        <f t="shared" si="10"/>
        <v>56209.408709986921</v>
      </c>
      <c r="O106" s="1">
        <f t="shared" si="11"/>
        <v>62108.145764923182</v>
      </c>
      <c r="V106" s="1"/>
      <c r="W106" s="1"/>
      <c r="X106" s="1"/>
    </row>
    <row r="107" spans="12:24" x14ac:dyDescent="0.3">
      <c r="L107">
        <v>106</v>
      </c>
      <c r="M107" s="1">
        <f t="shared" si="9"/>
        <v>5970.0134610167388</v>
      </c>
      <c r="N107" s="1">
        <f t="shared" si="10"/>
        <v>56138.132303906452</v>
      </c>
      <c r="O107" s="1">
        <f t="shared" si="11"/>
        <v>62108.145764923189</v>
      </c>
      <c r="V107" s="1"/>
      <c r="W107" s="1"/>
      <c r="X107" s="1"/>
    </row>
    <row r="108" spans="12:24" x14ac:dyDescent="0.3">
      <c r="L108">
        <v>107</v>
      </c>
      <c r="M108" s="1">
        <f t="shared" si="9"/>
        <v>6042.151123670692</v>
      </c>
      <c r="N108" s="1">
        <f t="shared" si="10"/>
        <v>56065.994641252495</v>
      </c>
      <c r="O108" s="1">
        <f t="shared" si="11"/>
        <v>62108.145764923189</v>
      </c>
      <c r="V108" s="1"/>
      <c r="W108" s="1"/>
      <c r="X108" s="1"/>
    </row>
    <row r="109" spans="12:24" x14ac:dyDescent="0.3">
      <c r="L109">
        <v>108</v>
      </c>
      <c r="M109" s="1">
        <f t="shared" si="9"/>
        <v>6115.1604497483786</v>
      </c>
      <c r="N109" s="1">
        <f t="shared" si="10"/>
        <v>55992.985315174803</v>
      </c>
      <c r="O109" s="1">
        <f t="shared" si="11"/>
        <v>62108.145764923182</v>
      </c>
      <c r="V109" s="1"/>
      <c r="W109" s="1"/>
      <c r="X109" s="1"/>
    </row>
    <row r="110" spans="12:24" x14ac:dyDescent="0.3">
      <c r="L110">
        <v>109</v>
      </c>
      <c r="M110" s="1">
        <f t="shared" si="9"/>
        <v>6189.0519718495043</v>
      </c>
      <c r="N110" s="1">
        <f t="shared" si="10"/>
        <v>55919.093793073684</v>
      </c>
      <c r="O110" s="1">
        <f t="shared" si="11"/>
        <v>62108.145764923189</v>
      </c>
      <c r="V110" s="1"/>
      <c r="W110" s="1"/>
      <c r="X110" s="1"/>
    </row>
    <row r="111" spans="12:24" x14ac:dyDescent="0.3">
      <c r="L111">
        <v>110</v>
      </c>
      <c r="M111" s="1">
        <f t="shared" si="9"/>
        <v>6263.8363498426861</v>
      </c>
      <c r="N111" s="1">
        <f t="shared" si="10"/>
        <v>55844.309415080497</v>
      </c>
      <c r="O111" s="1">
        <f t="shared" si="11"/>
        <v>62108.145764923182</v>
      </c>
      <c r="V111" s="1"/>
      <c r="W111" s="1"/>
      <c r="X111" s="1"/>
    </row>
    <row r="112" spans="12:24" x14ac:dyDescent="0.3">
      <c r="L112">
        <v>111</v>
      </c>
      <c r="M112" s="1">
        <f t="shared" si="9"/>
        <v>6339.5243724032853</v>
      </c>
      <c r="N112" s="1">
        <f t="shared" si="10"/>
        <v>55768.621392519897</v>
      </c>
      <c r="O112" s="1">
        <f t="shared" si="11"/>
        <v>62108.145764923182</v>
      </c>
      <c r="V112" s="1"/>
      <c r="W112" s="1"/>
      <c r="X112" s="1"/>
    </row>
    <row r="113" spans="12:24" x14ac:dyDescent="0.3">
      <c r="L113">
        <v>112</v>
      </c>
      <c r="M113" s="1">
        <f t="shared" si="9"/>
        <v>6416.1269585698265</v>
      </c>
      <c r="N113" s="1">
        <f t="shared" si="10"/>
        <v>55692.01880635335</v>
      </c>
      <c r="O113" s="1">
        <f t="shared" si="11"/>
        <v>62108.145764923174</v>
      </c>
      <c r="V113" s="1"/>
      <c r="W113" s="1"/>
      <c r="X113" s="1"/>
    </row>
    <row r="114" spans="12:24" x14ac:dyDescent="0.3">
      <c r="L114">
        <v>113</v>
      </c>
      <c r="M114" s="1">
        <f t="shared" si="9"/>
        <v>6493.6551593192107</v>
      </c>
      <c r="N114" s="1">
        <f t="shared" si="10"/>
        <v>55614.490605603984</v>
      </c>
      <c r="O114" s="1">
        <f t="shared" si="11"/>
        <v>62108.145764923196</v>
      </c>
      <c r="V114" s="1"/>
      <c r="W114" s="1"/>
      <c r="X114" s="1"/>
    </row>
    <row r="115" spans="12:24" x14ac:dyDescent="0.3">
      <c r="L115">
        <v>114</v>
      </c>
      <c r="M115" s="1">
        <f t="shared" si="9"/>
        <v>6572.1201591609843</v>
      </c>
      <c r="N115" s="1">
        <f t="shared" si="10"/>
        <v>55536.025605762203</v>
      </c>
      <c r="O115" s="1">
        <f t="shared" si="11"/>
        <v>62108.145764923189</v>
      </c>
      <c r="V115" s="1"/>
      <c r="W115" s="1"/>
      <c r="X115" s="1"/>
    </row>
    <row r="116" spans="12:24" x14ac:dyDescent="0.3">
      <c r="L116">
        <v>115</v>
      </c>
      <c r="M116" s="1">
        <f t="shared" si="9"/>
        <v>6651.5332777508484</v>
      </c>
      <c r="N116" s="1">
        <f t="shared" si="10"/>
        <v>55456.612487172337</v>
      </c>
      <c r="O116" s="1">
        <f t="shared" si="11"/>
        <v>62108.145764923189</v>
      </c>
      <c r="V116" s="1"/>
      <c r="W116" s="1"/>
      <c r="X116" s="1"/>
    </row>
    <row r="117" spans="12:24" x14ac:dyDescent="0.3">
      <c r="L117">
        <v>116</v>
      </c>
      <c r="M117" s="1">
        <f t="shared" si="9"/>
        <v>6731.9059715236708</v>
      </c>
      <c r="N117" s="1">
        <f t="shared" si="10"/>
        <v>55376.239793399509</v>
      </c>
      <c r="O117" s="1">
        <f t="shared" si="11"/>
        <v>62108.145764923182</v>
      </c>
      <c r="V117" s="1"/>
      <c r="W117" s="1"/>
      <c r="X117" s="1"/>
    </row>
    <row r="118" spans="12:24" x14ac:dyDescent="0.3">
      <c r="L118">
        <v>117</v>
      </c>
      <c r="M118" s="1">
        <f t="shared" si="9"/>
        <v>6813.2498353462461</v>
      </c>
      <c r="N118" s="1">
        <f t="shared" si="10"/>
        <v>55294.895929576938</v>
      </c>
      <c r="O118" s="1">
        <f t="shared" si="11"/>
        <v>62108.145764923182</v>
      </c>
      <c r="V118" s="1"/>
      <c r="W118" s="1"/>
      <c r="X118" s="1"/>
    </row>
    <row r="119" spans="12:24" x14ac:dyDescent="0.3">
      <c r="L119">
        <v>118</v>
      </c>
      <c r="M119" s="1">
        <f t="shared" si="9"/>
        <v>6895.5766041900142</v>
      </c>
      <c r="N119" s="1">
        <f t="shared" si="10"/>
        <v>55212.569160733176</v>
      </c>
      <c r="O119" s="1">
        <f t="shared" si="11"/>
        <v>62108.145764923189</v>
      </c>
      <c r="V119" s="1"/>
      <c r="W119" s="1"/>
      <c r="X119" s="1"/>
    </row>
    <row r="120" spans="12:24" x14ac:dyDescent="0.3">
      <c r="L120">
        <v>119</v>
      </c>
      <c r="M120" s="1">
        <f t="shared" si="9"/>
        <v>6978.8981548239781</v>
      </c>
      <c r="N120" s="1">
        <f t="shared" si="10"/>
        <v>55129.247610099206</v>
      </c>
      <c r="O120" s="1">
        <f t="shared" si="11"/>
        <v>62108.145764923182</v>
      </c>
      <c r="V120" s="1"/>
      <c r="W120" s="1"/>
      <c r="X120" s="1"/>
    </row>
    <row r="121" spans="12:24" x14ac:dyDescent="0.3">
      <c r="L121">
        <v>120</v>
      </c>
      <c r="M121" s="1">
        <f t="shared" si="9"/>
        <v>7063.2265075280984</v>
      </c>
      <c r="N121" s="1">
        <f t="shared" si="10"/>
        <v>55044.919257395086</v>
      </c>
      <c r="O121" s="1">
        <f t="shared" si="11"/>
        <v>62108.145764923182</v>
      </c>
      <c r="V121" s="1"/>
      <c r="W121" s="1"/>
      <c r="X121" s="1"/>
    </row>
    <row r="122" spans="12:24" x14ac:dyDescent="0.3">
      <c r="L122">
        <v>121</v>
      </c>
      <c r="M122" s="1">
        <f t="shared" si="9"/>
        <v>7148.5738278273966</v>
      </c>
      <c r="N122" s="1">
        <f t="shared" si="10"/>
        <v>54959.571937095789</v>
      </c>
      <c r="O122" s="1">
        <f t="shared" si="11"/>
        <v>62108.145764923189</v>
      </c>
      <c r="V122" s="1"/>
      <c r="W122" s="1"/>
      <c r="X122" s="1"/>
    </row>
    <row r="123" spans="12:24" x14ac:dyDescent="0.3">
      <c r="L123">
        <v>122</v>
      </c>
      <c r="M123" s="1">
        <f t="shared" si="9"/>
        <v>7234.9524282469783</v>
      </c>
      <c r="N123" s="1">
        <f t="shared" si="10"/>
        <v>54873.193336676202</v>
      </c>
      <c r="O123" s="1">
        <f t="shared" si="11"/>
        <v>62108.145764923182</v>
      </c>
      <c r="V123" s="1"/>
      <c r="W123" s="1"/>
      <c r="X123" s="1"/>
    </row>
    <row r="124" spans="12:24" x14ac:dyDescent="0.3">
      <c r="L124">
        <v>123</v>
      </c>
      <c r="M124" s="1">
        <f t="shared" si="9"/>
        <v>7322.3747700882977</v>
      </c>
      <c r="N124" s="1">
        <f t="shared" si="10"/>
        <v>54785.770994834886</v>
      </c>
      <c r="O124" s="1">
        <f t="shared" si="11"/>
        <v>62108.145764923182</v>
      </c>
      <c r="V124" s="1"/>
      <c r="W124" s="1"/>
      <c r="X124" s="1"/>
    </row>
    <row r="125" spans="12:24" x14ac:dyDescent="0.3">
      <c r="L125">
        <v>124</v>
      </c>
      <c r="M125" s="1">
        <f t="shared" si="9"/>
        <v>7410.8534652268618</v>
      </c>
      <c r="N125" s="1">
        <f t="shared" si="10"/>
        <v>54697.292299696332</v>
      </c>
      <c r="O125" s="1">
        <f t="shared" si="11"/>
        <v>62108.145764923196</v>
      </c>
      <c r="V125" s="1"/>
      <c r="W125" s="1"/>
      <c r="X125" s="1"/>
    </row>
    <row r="126" spans="12:24" x14ac:dyDescent="0.3">
      <c r="L126">
        <v>125</v>
      </c>
      <c r="M126" s="1">
        <f t="shared" si="9"/>
        <v>7500.4012779316881</v>
      </c>
      <c r="N126" s="1">
        <f t="shared" si="10"/>
        <v>54607.744486991498</v>
      </c>
      <c r="O126" s="1">
        <f t="shared" si="11"/>
        <v>62108.145764923189</v>
      </c>
      <c r="V126" s="1"/>
      <c r="W126" s="1"/>
      <c r="X126" s="1"/>
    </row>
    <row r="127" spans="12:24" x14ac:dyDescent="0.3">
      <c r="L127">
        <v>126</v>
      </c>
      <c r="M127" s="1">
        <f t="shared" si="9"/>
        <v>7591.0311267066963</v>
      </c>
      <c r="N127" s="1">
        <f t="shared" si="10"/>
        <v>54517.114638216495</v>
      </c>
      <c r="O127" s="1">
        <f t="shared" si="11"/>
        <v>62108.145764923189</v>
      </c>
      <c r="V127" s="1"/>
      <c r="W127" s="1"/>
      <c r="X127" s="1"/>
    </row>
    <row r="128" spans="12:24" x14ac:dyDescent="0.3">
      <c r="L128">
        <v>127</v>
      </c>
      <c r="M128" s="1">
        <f t="shared" si="9"/>
        <v>7682.7560861544025</v>
      </c>
      <c r="N128" s="1">
        <f t="shared" si="10"/>
        <v>54425.389678768777</v>
      </c>
      <c r="O128" s="1">
        <f t="shared" si="11"/>
        <v>62108.145764923182</v>
      </c>
      <c r="V128" s="1"/>
      <c r="W128" s="1"/>
      <c r="X128" s="1"/>
    </row>
    <row r="129" spans="12:24" x14ac:dyDescent="0.3">
      <c r="L129">
        <v>128</v>
      </c>
      <c r="M129" s="1">
        <f t="shared" si="9"/>
        <v>7775.5893888620985</v>
      </c>
      <c r="N129" s="1">
        <f t="shared" si="10"/>
        <v>54332.556376061082</v>
      </c>
      <c r="O129" s="1">
        <f t="shared" si="11"/>
        <v>62108.145764923182</v>
      </c>
      <c r="V129" s="1"/>
      <c r="W129" s="1"/>
      <c r="X129" s="1"/>
    </row>
    <row r="130" spans="12:24" x14ac:dyDescent="0.3">
      <c r="L130">
        <v>129</v>
      </c>
      <c r="M130" s="1">
        <f t="shared" si="9"/>
        <v>7869.5444273108524</v>
      </c>
      <c r="N130" s="1">
        <f t="shared" si="10"/>
        <v>54238.601337612337</v>
      </c>
      <c r="O130" s="1">
        <f t="shared" si="11"/>
        <v>62108.145764923189</v>
      </c>
      <c r="V130" s="1"/>
      <c r="W130" s="1"/>
      <c r="X130" s="1"/>
    </row>
    <row r="131" spans="12:24" x14ac:dyDescent="0.3">
      <c r="L131">
        <v>130</v>
      </c>
      <c r="M131" s="1">
        <f t="shared" ref="M131:M194" si="12">PPMT($J$5/12,L131,$J$6*12,$J$4-$J$3)</f>
        <v>7964.6347558075249</v>
      </c>
      <c r="N131" s="1">
        <f t="shared" ref="N131:N194" si="13">IPMT($J$5/12,L131,$J$6*12,$J$4-$J$3)</f>
        <v>54143.511009115668</v>
      </c>
      <c r="O131" s="1">
        <f t="shared" ref="O131:O194" si="14">M131+N131</f>
        <v>62108.145764923189</v>
      </c>
      <c r="V131" s="1"/>
      <c r="W131" s="1"/>
      <c r="X131" s="1"/>
    </row>
    <row r="132" spans="12:24" x14ac:dyDescent="0.3">
      <c r="L132">
        <v>131</v>
      </c>
      <c r="M132" s="1">
        <f t="shared" si="12"/>
        <v>8060.8740924401973</v>
      </c>
      <c r="N132" s="1">
        <f t="shared" si="13"/>
        <v>54047.271672482988</v>
      </c>
      <c r="O132" s="1">
        <f t="shared" si="14"/>
        <v>62108.145764923189</v>
      </c>
      <c r="V132" s="1"/>
      <c r="W132" s="1"/>
      <c r="X132" s="1"/>
    </row>
    <row r="133" spans="12:24" x14ac:dyDescent="0.3">
      <c r="L133">
        <v>132</v>
      </c>
      <c r="M133" s="1">
        <f t="shared" si="12"/>
        <v>8158.2763210571829</v>
      </c>
      <c r="N133" s="1">
        <f t="shared" si="13"/>
        <v>53949.869443866002</v>
      </c>
      <c r="O133" s="1">
        <f t="shared" si="14"/>
        <v>62108.145764923189</v>
      </c>
      <c r="V133" s="1"/>
      <c r="W133" s="1"/>
      <c r="X133" s="1"/>
    </row>
    <row r="134" spans="12:24" x14ac:dyDescent="0.3">
      <c r="L134">
        <v>133</v>
      </c>
      <c r="M134" s="1">
        <f t="shared" si="12"/>
        <v>8256.8554932699572</v>
      </c>
      <c r="N134" s="1">
        <f t="shared" si="13"/>
        <v>53851.290271653226</v>
      </c>
      <c r="O134" s="1">
        <f t="shared" si="14"/>
        <v>62108.145764923182</v>
      </c>
      <c r="V134" s="1"/>
      <c r="W134" s="1"/>
      <c r="X134" s="1"/>
    </row>
    <row r="135" spans="12:24" x14ac:dyDescent="0.3">
      <c r="L135">
        <v>134</v>
      </c>
      <c r="M135" s="1">
        <f t="shared" si="12"/>
        <v>8356.625830480305</v>
      </c>
      <c r="N135" s="1">
        <f t="shared" si="13"/>
        <v>53751.519934442884</v>
      </c>
      <c r="O135" s="1">
        <f t="shared" si="14"/>
        <v>62108.145764923189</v>
      </c>
      <c r="V135" s="1"/>
      <c r="W135" s="1"/>
      <c r="X135" s="1"/>
    </row>
    <row r="136" spans="12:24" x14ac:dyDescent="0.3">
      <c r="L136">
        <v>135</v>
      </c>
      <c r="M136" s="1">
        <f t="shared" si="12"/>
        <v>8457.6017259319415</v>
      </c>
      <c r="N136" s="1">
        <f t="shared" si="13"/>
        <v>53650.54403899124</v>
      </c>
      <c r="O136" s="1">
        <f t="shared" si="14"/>
        <v>62108.145764923182</v>
      </c>
      <c r="V136" s="1"/>
      <c r="W136" s="1"/>
      <c r="X136" s="1"/>
    </row>
    <row r="137" spans="12:24" x14ac:dyDescent="0.3">
      <c r="L137">
        <v>136</v>
      </c>
      <c r="M137" s="1">
        <f t="shared" si="12"/>
        <v>8559.7977467869514</v>
      </c>
      <c r="N137" s="1">
        <f t="shared" si="13"/>
        <v>53548.348018136239</v>
      </c>
      <c r="O137" s="1">
        <f t="shared" si="14"/>
        <v>62108.145764923189</v>
      </c>
      <c r="V137" s="1"/>
      <c r="W137" s="1"/>
      <c r="X137" s="1"/>
    </row>
    <row r="138" spans="12:24" x14ac:dyDescent="0.3">
      <c r="L138">
        <v>137</v>
      </c>
      <c r="M138" s="1">
        <f t="shared" si="12"/>
        <v>8663.2286362272935</v>
      </c>
      <c r="N138" s="1">
        <f t="shared" si="13"/>
        <v>53444.917128695895</v>
      </c>
      <c r="O138" s="1">
        <f t="shared" si="14"/>
        <v>62108.145764923189</v>
      </c>
      <c r="V138" s="1"/>
      <c r="W138" s="1"/>
      <c r="X138" s="1"/>
    </row>
    <row r="139" spans="12:24" x14ac:dyDescent="0.3">
      <c r="L139">
        <v>138</v>
      </c>
      <c r="M139" s="1">
        <f t="shared" si="12"/>
        <v>8767.9093155817063</v>
      </c>
      <c r="N139" s="1">
        <f t="shared" si="13"/>
        <v>53340.236449341479</v>
      </c>
      <c r="O139" s="1">
        <f t="shared" si="14"/>
        <v>62108.145764923189</v>
      </c>
      <c r="V139" s="1"/>
      <c r="W139" s="1"/>
      <c r="X139" s="1"/>
    </row>
    <row r="140" spans="12:24" x14ac:dyDescent="0.3">
      <c r="L140">
        <v>139</v>
      </c>
      <c r="M140" s="1">
        <f t="shared" si="12"/>
        <v>8873.8548864783206</v>
      </c>
      <c r="N140" s="1">
        <f t="shared" si="13"/>
        <v>53234.290878444859</v>
      </c>
      <c r="O140" s="1">
        <f t="shared" si="14"/>
        <v>62108.145764923182</v>
      </c>
      <c r="V140" s="1"/>
      <c r="W140" s="1"/>
      <c r="X140" s="1"/>
    </row>
    <row r="141" spans="12:24" x14ac:dyDescent="0.3">
      <c r="L141">
        <v>140</v>
      </c>
      <c r="M141" s="1">
        <f t="shared" si="12"/>
        <v>8981.0806330232663</v>
      </c>
      <c r="N141" s="1">
        <f t="shared" si="13"/>
        <v>53127.065131899915</v>
      </c>
      <c r="O141" s="1">
        <f t="shared" si="14"/>
        <v>62108.145764923182</v>
      </c>
      <c r="V141" s="1"/>
      <c r="W141" s="1"/>
      <c r="X141" s="1"/>
    </row>
    <row r="142" spans="12:24" x14ac:dyDescent="0.3">
      <c r="L142">
        <v>141</v>
      </c>
      <c r="M142" s="1">
        <f t="shared" si="12"/>
        <v>9089.6020240056332</v>
      </c>
      <c r="N142" s="1">
        <f t="shared" si="13"/>
        <v>53018.54374091755</v>
      </c>
      <c r="O142" s="1">
        <f t="shared" si="14"/>
        <v>62108.145764923182</v>
      </c>
      <c r="V142" s="1"/>
      <c r="W142" s="1"/>
      <c r="X142" s="1"/>
    </row>
    <row r="143" spans="12:24" x14ac:dyDescent="0.3">
      <c r="L143">
        <v>142</v>
      </c>
      <c r="M143" s="1">
        <f t="shared" si="12"/>
        <v>9199.4347151290312</v>
      </c>
      <c r="N143" s="1">
        <f t="shared" si="13"/>
        <v>52908.711049794147</v>
      </c>
      <c r="O143" s="1">
        <f t="shared" si="14"/>
        <v>62108.145764923174</v>
      </c>
      <c r="V143" s="1"/>
      <c r="W143" s="1"/>
      <c r="X143" s="1"/>
    </row>
    <row r="144" spans="12:24" x14ac:dyDescent="0.3">
      <c r="L144">
        <v>143</v>
      </c>
      <c r="M144" s="1">
        <f t="shared" si="12"/>
        <v>9310.5945512701746</v>
      </c>
      <c r="N144" s="1">
        <f t="shared" si="13"/>
        <v>52797.551213653009</v>
      </c>
      <c r="O144" s="1">
        <f t="shared" si="14"/>
        <v>62108.145764923182</v>
      </c>
      <c r="V144" s="1"/>
      <c r="W144" s="1"/>
      <c r="X144" s="1"/>
    </row>
    <row r="145" spans="12:24" x14ac:dyDescent="0.3">
      <c r="L145">
        <v>144</v>
      </c>
      <c r="M145" s="1">
        <f t="shared" si="12"/>
        <v>9423.0975687646896</v>
      </c>
      <c r="N145" s="1">
        <f t="shared" si="13"/>
        <v>52685.048196158496</v>
      </c>
      <c r="O145" s="1">
        <f t="shared" si="14"/>
        <v>62108.145764923189</v>
      </c>
      <c r="V145" s="1"/>
      <c r="W145" s="1"/>
      <c r="X145" s="1"/>
    </row>
    <row r="146" spans="12:24" x14ac:dyDescent="0.3">
      <c r="L146">
        <v>145</v>
      </c>
      <c r="M146" s="1">
        <f t="shared" si="12"/>
        <v>9536.9599977205944</v>
      </c>
      <c r="N146" s="1">
        <f t="shared" si="13"/>
        <v>52571.185767202594</v>
      </c>
      <c r="O146" s="1">
        <f t="shared" si="14"/>
        <v>62108.145764923189</v>
      </c>
      <c r="V146" s="1"/>
      <c r="W146" s="1"/>
      <c r="X146" s="1"/>
    </row>
    <row r="147" spans="12:24" x14ac:dyDescent="0.3">
      <c r="L147">
        <v>146</v>
      </c>
      <c r="M147" s="1">
        <f t="shared" si="12"/>
        <v>9652.1982643597185</v>
      </c>
      <c r="N147" s="1">
        <f t="shared" si="13"/>
        <v>52455.947500563467</v>
      </c>
      <c r="O147" s="1">
        <f t="shared" si="14"/>
        <v>62108.145764923189</v>
      </c>
      <c r="V147" s="1"/>
      <c r="W147" s="1"/>
      <c r="X147" s="1"/>
    </row>
    <row r="148" spans="12:24" x14ac:dyDescent="0.3">
      <c r="L148">
        <v>147</v>
      </c>
      <c r="M148" s="1">
        <f t="shared" si="12"/>
        <v>9768.8289933874003</v>
      </c>
      <c r="N148" s="1">
        <f t="shared" si="13"/>
        <v>52339.316771535778</v>
      </c>
      <c r="O148" s="1">
        <f t="shared" si="14"/>
        <v>62108.145764923174</v>
      </c>
      <c r="V148" s="1"/>
      <c r="W148" s="1"/>
      <c r="X148" s="1"/>
    </row>
    <row r="149" spans="12:24" x14ac:dyDescent="0.3">
      <c r="L149">
        <v>148</v>
      </c>
      <c r="M149" s="1">
        <f t="shared" si="12"/>
        <v>9886.8690103908302</v>
      </c>
      <c r="N149" s="1">
        <f t="shared" si="13"/>
        <v>52221.276754532344</v>
      </c>
      <c r="O149" s="1">
        <f t="shared" si="14"/>
        <v>62108.145764923174</v>
      </c>
      <c r="V149" s="1"/>
      <c r="W149" s="1"/>
      <c r="X149" s="1"/>
    </row>
    <row r="150" spans="12:24" x14ac:dyDescent="0.3">
      <c r="L150">
        <v>149</v>
      </c>
      <c r="M150" s="1">
        <f t="shared" si="12"/>
        <v>10006.335344266387</v>
      </c>
      <c r="N150" s="1">
        <f t="shared" si="13"/>
        <v>52101.810420656802</v>
      </c>
      <c r="O150" s="1">
        <f t="shared" si="14"/>
        <v>62108.145764923189</v>
      </c>
      <c r="V150" s="1"/>
      <c r="W150" s="1"/>
      <c r="X150" s="1"/>
    </row>
    <row r="151" spans="12:24" x14ac:dyDescent="0.3">
      <c r="L151">
        <v>150</v>
      </c>
      <c r="M151" s="1">
        <f t="shared" si="12"/>
        <v>10127.245229676273</v>
      </c>
      <c r="N151" s="1">
        <f t="shared" si="13"/>
        <v>51980.90053524691</v>
      </c>
      <c r="O151" s="1">
        <f t="shared" si="14"/>
        <v>62108.145764923182</v>
      </c>
      <c r="V151" s="1"/>
      <c r="W151" s="1"/>
      <c r="X151" s="1"/>
    </row>
    <row r="152" spans="12:24" x14ac:dyDescent="0.3">
      <c r="L152">
        <v>151</v>
      </c>
      <c r="M152" s="1">
        <f t="shared" si="12"/>
        <v>10249.61610953486</v>
      </c>
      <c r="N152" s="1">
        <f t="shared" si="13"/>
        <v>51858.529655388316</v>
      </c>
      <c r="O152" s="1">
        <f t="shared" si="14"/>
        <v>62108.145764923174</v>
      </c>
      <c r="V152" s="1"/>
      <c r="W152" s="1"/>
      <c r="X152" s="1"/>
    </row>
    <row r="153" spans="12:24" x14ac:dyDescent="0.3">
      <c r="L153">
        <v>152</v>
      </c>
      <c r="M153" s="1">
        <f t="shared" si="12"/>
        <v>10373.465637525072</v>
      </c>
      <c r="N153" s="1">
        <f t="shared" si="13"/>
        <v>51734.680127398118</v>
      </c>
      <c r="O153" s="1">
        <f t="shared" si="14"/>
        <v>62108.145764923189</v>
      </c>
      <c r="V153" s="1"/>
      <c r="W153" s="1"/>
      <c r="X153" s="1"/>
    </row>
    <row r="154" spans="12:24" x14ac:dyDescent="0.3">
      <c r="L154">
        <v>153</v>
      </c>
      <c r="M154" s="1">
        <f t="shared" si="12"/>
        <v>10498.811680645167</v>
      </c>
      <c r="N154" s="1">
        <f t="shared" si="13"/>
        <v>51609.334084278016</v>
      </c>
      <c r="O154" s="1">
        <f t="shared" si="14"/>
        <v>62108.145764923182</v>
      </c>
      <c r="V154" s="1"/>
      <c r="W154" s="1"/>
      <c r="X154" s="1"/>
    </row>
    <row r="155" spans="12:24" x14ac:dyDescent="0.3">
      <c r="L155">
        <v>154</v>
      </c>
      <c r="M155" s="1">
        <f t="shared" si="12"/>
        <v>10625.672321786296</v>
      </c>
      <c r="N155" s="1">
        <f t="shared" si="13"/>
        <v>51482.473443136892</v>
      </c>
      <c r="O155" s="1">
        <f t="shared" si="14"/>
        <v>62108.145764923189</v>
      </c>
      <c r="V155" s="1"/>
      <c r="W155" s="1"/>
      <c r="X155" s="1"/>
    </row>
    <row r="156" spans="12:24" x14ac:dyDescent="0.3">
      <c r="L156">
        <v>155</v>
      </c>
      <c r="M156" s="1">
        <f t="shared" si="12"/>
        <v>10754.065862341215</v>
      </c>
      <c r="N156" s="1">
        <f t="shared" si="13"/>
        <v>51354.079902581972</v>
      </c>
      <c r="O156" s="1">
        <f t="shared" si="14"/>
        <v>62108.145764923189</v>
      </c>
      <c r="V156" s="1"/>
      <c r="W156" s="1"/>
      <c r="X156" s="1"/>
    </row>
    <row r="157" spans="12:24" x14ac:dyDescent="0.3">
      <c r="L157">
        <v>156</v>
      </c>
      <c r="M157" s="1">
        <f t="shared" si="12"/>
        <v>10884.010824844505</v>
      </c>
      <c r="N157" s="1">
        <f t="shared" si="13"/>
        <v>51224.134940078678</v>
      </c>
      <c r="O157" s="1">
        <f t="shared" si="14"/>
        <v>62108.145764923182</v>
      </c>
      <c r="V157" s="1"/>
      <c r="W157" s="1"/>
      <c r="X157" s="1"/>
    </row>
    <row r="158" spans="12:24" x14ac:dyDescent="0.3">
      <c r="L158">
        <v>157</v>
      </c>
      <c r="M158" s="1">
        <f t="shared" si="12"/>
        <v>11015.525955644709</v>
      </c>
      <c r="N158" s="1">
        <f t="shared" si="13"/>
        <v>51092.619809278476</v>
      </c>
      <c r="O158" s="1">
        <f t="shared" si="14"/>
        <v>62108.145764923189</v>
      </c>
      <c r="V158" s="1"/>
      <c r="W158" s="1"/>
      <c r="X158" s="1"/>
    </row>
    <row r="159" spans="12:24" x14ac:dyDescent="0.3">
      <c r="L159">
        <v>158</v>
      </c>
      <c r="M159" s="1">
        <f t="shared" si="12"/>
        <v>11148.630227608748</v>
      </c>
      <c r="N159" s="1">
        <f t="shared" si="13"/>
        <v>50959.515537314437</v>
      </c>
      <c r="O159" s="1">
        <f t="shared" si="14"/>
        <v>62108.145764923189</v>
      </c>
      <c r="V159" s="1"/>
      <c r="W159" s="1"/>
      <c r="X159" s="1"/>
    </row>
    <row r="160" spans="12:24" x14ac:dyDescent="0.3">
      <c r="L160">
        <v>159</v>
      </c>
      <c r="M160" s="1">
        <f t="shared" si="12"/>
        <v>11283.342842859021</v>
      </c>
      <c r="N160" s="1">
        <f t="shared" si="13"/>
        <v>50824.802922064169</v>
      </c>
      <c r="O160" s="1">
        <f t="shared" si="14"/>
        <v>62108.145764923189</v>
      </c>
      <c r="V160" s="1"/>
      <c r="W160" s="1"/>
      <c r="X160" s="1"/>
    </row>
    <row r="161" spans="12:24" x14ac:dyDescent="0.3">
      <c r="L161">
        <v>160</v>
      </c>
      <c r="M161" s="1">
        <f t="shared" si="12"/>
        <v>11419.683235543567</v>
      </c>
      <c r="N161" s="1">
        <f t="shared" si="13"/>
        <v>50688.46252937962</v>
      </c>
      <c r="O161" s="1">
        <f t="shared" si="14"/>
        <v>62108.145764923189</v>
      </c>
      <c r="V161" s="1"/>
      <c r="W161" s="1"/>
      <c r="X161" s="1"/>
    </row>
    <row r="162" spans="12:24" x14ac:dyDescent="0.3">
      <c r="L162">
        <v>161</v>
      </c>
      <c r="M162" s="1">
        <f t="shared" si="12"/>
        <v>11557.67107463972</v>
      </c>
      <c r="N162" s="1">
        <f t="shared" si="13"/>
        <v>50550.474690283467</v>
      </c>
      <c r="O162" s="1">
        <f t="shared" si="14"/>
        <v>62108.145764923189</v>
      </c>
      <c r="V162" s="1"/>
      <c r="W162" s="1"/>
      <c r="X162" s="1"/>
    </row>
    <row r="163" spans="12:24" x14ac:dyDescent="0.3">
      <c r="L163">
        <v>162</v>
      </c>
      <c r="M163" s="1">
        <f t="shared" si="12"/>
        <v>11697.326266791615</v>
      </c>
      <c r="N163" s="1">
        <f t="shared" si="13"/>
        <v>50410.819498131568</v>
      </c>
      <c r="O163" s="1">
        <f t="shared" si="14"/>
        <v>62108.145764923182</v>
      </c>
      <c r="V163" s="1"/>
      <c r="W163" s="1"/>
      <c r="X163" s="1"/>
    </row>
    <row r="164" spans="12:24" x14ac:dyDescent="0.3">
      <c r="L164">
        <v>163</v>
      </c>
      <c r="M164" s="1">
        <f t="shared" si="12"/>
        <v>11838.668959182012</v>
      </c>
      <c r="N164" s="1">
        <f t="shared" si="13"/>
        <v>50269.476805741171</v>
      </c>
      <c r="O164" s="1">
        <f t="shared" si="14"/>
        <v>62108.145764923182</v>
      </c>
      <c r="V164" s="1"/>
      <c r="W164" s="1"/>
      <c r="X164" s="1"/>
    </row>
    <row r="165" spans="12:24" x14ac:dyDescent="0.3">
      <c r="L165">
        <v>164</v>
      </c>
      <c r="M165" s="1">
        <f t="shared" si="12"/>
        <v>11981.719542438797</v>
      </c>
      <c r="N165" s="1">
        <f t="shared" si="13"/>
        <v>50126.426222484384</v>
      </c>
      <c r="O165" s="1">
        <f t="shared" si="14"/>
        <v>62108.145764923182</v>
      </c>
      <c r="V165" s="1"/>
      <c r="W165" s="1"/>
      <c r="X165" s="1"/>
    </row>
    <row r="166" spans="12:24" x14ac:dyDescent="0.3">
      <c r="L166">
        <v>165</v>
      </c>
      <c r="M166" s="1">
        <f t="shared" si="12"/>
        <v>12126.498653576598</v>
      </c>
      <c r="N166" s="1">
        <f t="shared" si="13"/>
        <v>49981.647111346589</v>
      </c>
      <c r="O166" s="1">
        <f t="shared" si="14"/>
        <v>62108.145764923189</v>
      </c>
      <c r="V166" s="1"/>
      <c r="W166" s="1"/>
      <c r="X166" s="1"/>
    </row>
    <row r="167" spans="12:24" x14ac:dyDescent="0.3">
      <c r="L167">
        <v>166</v>
      </c>
      <c r="M167" s="1">
        <f t="shared" si="12"/>
        <v>12273.027178973984</v>
      </c>
      <c r="N167" s="1">
        <f t="shared" si="13"/>
        <v>49835.118585949203</v>
      </c>
      <c r="O167" s="1">
        <f t="shared" si="14"/>
        <v>62108.145764923189</v>
      </c>
      <c r="V167" s="1"/>
      <c r="W167" s="1"/>
      <c r="X167" s="1"/>
    </row>
    <row r="168" spans="12:24" x14ac:dyDescent="0.3">
      <c r="L168">
        <v>167</v>
      </c>
      <c r="M168" s="1">
        <f t="shared" si="12"/>
        <v>12421.326257386585</v>
      </c>
      <c r="N168" s="1">
        <f t="shared" si="13"/>
        <v>49686.819507536602</v>
      </c>
      <c r="O168" s="1">
        <f t="shared" si="14"/>
        <v>62108.145764923189</v>
      </c>
      <c r="V168" s="1"/>
      <c r="W168" s="1"/>
      <c r="X168" s="1"/>
    </row>
    <row r="169" spans="12:24" x14ac:dyDescent="0.3">
      <c r="L169">
        <v>168</v>
      </c>
      <c r="M169" s="1">
        <f t="shared" si="12"/>
        <v>12571.417282996676</v>
      </c>
      <c r="N169" s="1">
        <f t="shared" si="13"/>
        <v>49536.728481926511</v>
      </c>
      <c r="O169" s="1">
        <f t="shared" si="14"/>
        <v>62108.145764923189</v>
      </c>
      <c r="V169" s="1"/>
      <c r="W169" s="1"/>
      <c r="X169" s="1"/>
    </row>
    <row r="170" spans="12:24" x14ac:dyDescent="0.3">
      <c r="L170">
        <v>169</v>
      </c>
      <c r="M170" s="1">
        <f t="shared" si="12"/>
        <v>12723.321908499551</v>
      </c>
      <c r="N170" s="1">
        <f t="shared" si="13"/>
        <v>49384.823856423631</v>
      </c>
      <c r="O170" s="1">
        <f t="shared" si="14"/>
        <v>62108.145764923182</v>
      </c>
      <c r="V170" s="1"/>
      <c r="W170" s="1"/>
      <c r="X170" s="1"/>
    </row>
    <row r="171" spans="12:24" x14ac:dyDescent="0.3">
      <c r="L171">
        <v>170</v>
      </c>
      <c r="M171" s="1">
        <f t="shared" si="12"/>
        <v>12877.062048227253</v>
      </c>
      <c r="N171" s="1">
        <f t="shared" si="13"/>
        <v>49231.083716695932</v>
      </c>
      <c r="O171" s="1">
        <f t="shared" si="14"/>
        <v>62108.145764923189</v>
      </c>
      <c r="V171" s="1"/>
      <c r="W171" s="1"/>
      <c r="X171" s="1"/>
    </row>
    <row r="172" spans="12:24" x14ac:dyDescent="0.3">
      <c r="L172">
        <v>171</v>
      </c>
      <c r="M172" s="1">
        <f t="shared" si="12"/>
        <v>13032.659881309997</v>
      </c>
      <c r="N172" s="1">
        <f t="shared" si="13"/>
        <v>49075.48588361319</v>
      </c>
      <c r="O172" s="1">
        <f t="shared" si="14"/>
        <v>62108.145764923189</v>
      </c>
      <c r="V172" s="1"/>
      <c r="W172" s="1"/>
      <c r="X172" s="1"/>
    </row>
    <row r="173" spans="12:24" x14ac:dyDescent="0.3">
      <c r="L173">
        <v>172</v>
      </c>
      <c r="M173" s="1">
        <f t="shared" si="12"/>
        <v>13190.137854875829</v>
      </c>
      <c r="N173" s="1">
        <f t="shared" si="13"/>
        <v>48918.007910047359</v>
      </c>
      <c r="O173" s="1">
        <f t="shared" si="14"/>
        <v>62108.145764923189</v>
      </c>
      <c r="V173" s="1"/>
      <c r="W173" s="1"/>
      <c r="X173" s="1"/>
    </row>
    <row r="174" spans="12:24" x14ac:dyDescent="0.3">
      <c r="L174">
        <v>173</v>
      </c>
      <c r="M174" s="1">
        <f t="shared" si="12"/>
        <v>13349.518687288912</v>
      </c>
      <c r="N174" s="1">
        <f t="shared" si="13"/>
        <v>48758.627077634272</v>
      </c>
      <c r="O174" s="1">
        <f t="shared" si="14"/>
        <v>62108.145764923182</v>
      </c>
      <c r="V174" s="1"/>
      <c r="W174" s="1"/>
      <c r="X174" s="1"/>
    </row>
    <row r="175" spans="12:24" x14ac:dyDescent="0.3">
      <c r="L175">
        <v>174</v>
      </c>
      <c r="M175" s="1">
        <f t="shared" si="12"/>
        <v>13510.825371426985</v>
      </c>
      <c r="N175" s="1">
        <f t="shared" si="13"/>
        <v>48597.3203934962</v>
      </c>
      <c r="O175" s="1">
        <f t="shared" si="14"/>
        <v>62108.145764923189</v>
      </c>
      <c r="V175" s="1"/>
      <c r="W175" s="1"/>
      <c r="X175" s="1"/>
    </row>
    <row r="176" spans="12:24" x14ac:dyDescent="0.3">
      <c r="L176">
        <v>175</v>
      </c>
      <c r="M176" s="1">
        <f t="shared" si="12"/>
        <v>13674.081177998394</v>
      </c>
      <c r="N176" s="1">
        <f t="shared" si="13"/>
        <v>48434.064586924789</v>
      </c>
      <c r="O176" s="1">
        <f t="shared" si="14"/>
        <v>62108.145764923182</v>
      </c>
      <c r="V176" s="1"/>
      <c r="W176" s="1"/>
      <c r="X176" s="1"/>
    </row>
    <row r="177" spans="12:24" x14ac:dyDescent="0.3">
      <c r="L177">
        <v>176</v>
      </c>
      <c r="M177" s="1">
        <f t="shared" si="12"/>
        <v>13839.309658899207</v>
      </c>
      <c r="N177" s="1">
        <f t="shared" si="13"/>
        <v>48268.836106023984</v>
      </c>
      <c r="O177" s="1">
        <f t="shared" si="14"/>
        <v>62108.145764923189</v>
      </c>
      <c r="V177" s="1"/>
      <c r="W177" s="1"/>
      <c r="X177" s="1"/>
    </row>
    <row r="178" spans="12:24" x14ac:dyDescent="0.3">
      <c r="L178">
        <v>177</v>
      </c>
      <c r="M178" s="1">
        <f t="shared" si="12"/>
        <v>14006.534650610905</v>
      </c>
      <c r="N178" s="1">
        <f t="shared" si="13"/>
        <v>48101.611114312283</v>
      </c>
      <c r="O178" s="1">
        <f t="shared" si="14"/>
        <v>62108.145764923189</v>
      </c>
      <c r="V178" s="1"/>
      <c r="W178" s="1"/>
      <c r="X178" s="1"/>
    </row>
    <row r="179" spans="12:24" x14ac:dyDescent="0.3">
      <c r="L179">
        <v>178</v>
      </c>
      <c r="M179" s="1">
        <f t="shared" si="12"/>
        <v>14175.780277639122</v>
      </c>
      <c r="N179" s="1">
        <f t="shared" si="13"/>
        <v>47932.365487284063</v>
      </c>
      <c r="O179" s="1">
        <f t="shared" si="14"/>
        <v>62108.145764923189</v>
      </c>
      <c r="V179" s="1"/>
      <c r="W179" s="1"/>
      <c r="X179" s="1"/>
    </row>
    <row r="180" spans="12:24" x14ac:dyDescent="0.3">
      <c r="L180">
        <v>179</v>
      </c>
      <c r="M180" s="1">
        <f t="shared" si="12"/>
        <v>14347.07095599393</v>
      </c>
      <c r="N180" s="1">
        <f t="shared" si="13"/>
        <v>47761.074808929254</v>
      </c>
      <c r="O180" s="1">
        <f t="shared" si="14"/>
        <v>62108.145764923182</v>
      </c>
      <c r="V180" s="1"/>
      <c r="W180" s="1"/>
      <c r="X180" s="1"/>
    </row>
    <row r="181" spans="12:24" x14ac:dyDescent="0.3">
      <c r="L181">
        <v>180</v>
      </c>
      <c r="M181" s="1">
        <f t="shared" si="12"/>
        <v>14520.431396712187</v>
      </c>
      <c r="N181" s="1">
        <f t="shared" si="13"/>
        <v>47587.714368210996</v>
      </c>
      <c r="O181" s="1">
        <f t="shared" si="14"/>
        <v>62108.145764923182</v>
      </c>
      <c r="V181" s="1"/>
      <c r="W181" s="1"/>
      <c r="X181" s="1"/>
    </row>
    <row r="182" spans="12:24" x14ac:dyDescent="0.3">
      <c r="L182">
        <v>181</v>
      </c>
      <c r="M182" s="1">
        <f t="shared" si="12"/>
        <v>14695.886609422461</v>
      </c>
      <c r="N182" s="1">
        <f t="shared" si="13"/>
        <v>47412.259155500724</v>
      </c>
      <c r="O182" s="1">
        <f t="shared" si="14"/>
        <v>62108.145764923189</v>
      </c>
      <c r="V182" s="1"/>
      <c r="W182" s="1"/>
      <c r="X182" s="1"/>
    </row>
    <row r="183" spans="12:24" x14ac:dyDescent="0.3">
      <c r="L183">
        <v>182</v>
      </c>
      <c r="M183" s="1">
        <f t="shared" si="12"/>
        <v>14873.461905952981</v>
      </c>
      <c r="N183" s="1">
        <f t="shared" si="13"/>
        <v>47234.683858970202</v>
      </c>
      <c r="O183" s="1">
        <f t="shared" si="14"/>
        <v>62108.145764923182</v>
      </c>
      <c r="V183" s="1"/>
      <c r="W183" s="1"/>
      <c r="X183" s="1"/>
    </row>
    <row r="184" spans="12:24" x14ac:dyDescent="0.3">
      <c r="L184">
        <v>183</v>
      </c>
      <c r="M184" s="1">
        <f t="shared" si="12"/>
        <v>15053.182903983248</v>
      </c>
      <c r="N184" s="1">
        <f t="shared" si="13"/>
        <v>47054.962860939937</v>
      </c>
      <c r="O184" s="1">
        <f t="shared" si="14"/>
        <v>62108.145764923189</v>
      </c>
      <c r="V184" s="1"/>
      <c r="W184" s="1"/>
      <c r="X184" s="1"/>
    </row>
    <row r="185" spans="12:24" x14ac:dyDescent="0.3">
      <c r="L185">
        <v>184</v>
      </c>
      <c r="M185" s="1">
        <f t="shared" si="12"/>
        <v>15235.075530739712</v>
      </c>
      <c r="N185" s="1">
        <f t="shared" si="13"/>
        <v>46873.070234183469</v>
      </c>
      <c r="O185" s="1">
        <f t="shared" si="14"/>
        <v>62108.145764923182</v>
      </c>
      <c r="V185" s="1"/>
      <c r="W185" s="1"/>
      <c r="X185" s="1"/>
    </row>
    <row r="186" spans="12:24" x14ac:dyDescent="0.3">
      <c r="L186">
        <v>185</v>
      </c>
      <c r="M186" s="1">
        <f t="shared" si="12"/>
        <v>15419.166026736148</v>
      </c>
      <c r="N186" s="1">
        <f t="shared" si="13"/>
        <v>46688.979738187038</v>
      </c>
      <c r="O186" s="1">
        <f t="shared" si="14"/>
        <v>62108.145764923189</v>
      </c>
      <c r="V186" s="1"/>
      <c r="W186" s="1"/>
      <c r="X186" s="1"/>
    </row>
    <row r="187" spans="12:24" x14ac:dyDescent="0.3">
      <c r="L187">
        <v>186</v>
      </c>
      <c r="M187" s="1">
        <f t="shared" si="12"/>
        <v>15605.480949559213</v>
      </c>
      <c r="N187" s="1">
        <f t="shared" si="13"/>
        <v>46502.664815363969</v>
      </c>
      <c r="O187" s="1">
        <f t="shared" si="14"/>
        <v>62108.145764923182</v>
      </c>
      <c r="V187" s="1"/>
      <c r="W187" s="1"/>
      <c r="X187" s="1"/>
    </row>
    <row r="188" spans="12:24" x14ac:dyDescent="0.3">
      <c r="L188">
        <v>187</v>
      </c>
      <c r="M188" s="1">
        <f t="shared" si="12"/>
        <v>15794.047177699716</v>
      </c>
      <c r="N188" s="1">
        <f t="shared" si="13"/>
        <v>46314.098587223467</v>
      </c>
      <c r="O188" s="1">
        <f t="shared" si="14"/>
        <v>62108.145764923182</v>
      </c>
      <c r="V188" s="1"/>
      <c r="W188" s="1"/>
      <c r="X188" s="1"/>
    </row>
    <row r="189" spans="12:24" x14ac:dyDescent="0.3">
      <c r="L189">
        <v>188</v>
      </c>
      <c r="M189" s="1">
        <f t="shared" si="12"/>
        <v>15984.891914430258</v>
      </c>
      <c r="N189" s="1">
        <f t="shared" si="13"/>
        <v>46123.253850492925</v>
      </c>
      <c r="O189" s="1">
        <f t="shared" si="14"/>
        <v>62108.145764923182</v>
      </c>
      <c r="V189" s="1"/>
      <c r="W189" s="1"/>
      <c r="X189" s="1"/>
    </row>
    <row r="190" spans="12:24" x14ac:dyDescent="0.3">
      <c r="L190">
        <v>189</v>
      </c>
      <c r="M190" s="1">
        <f t="shared" si="12"/>
        <v>16178.042691729623</v>
      </c>
      <c r="N190" s="1">
        <f t="shared" si="13"/>
        <v>45930.103073193561</v>
      </c>
      <c r="O190" s="1">
        <f t="shared" si="14"/>
        <v>62108.145764923182</v>
      </c>
      <c r="V190" s="1"/>
      <c r="W190" s="1"/>
      <c r="X190" s="1"/>
    </row>
    <row r="191" spans="12:24" x14ac:dyDescent="0.3">
      <c r="L191">
        <v>190</v>
      </c>
      <c r="M191" s="1">
        <f t="shared" si="12"/>
        <v>16373.527374254689</v>
      </c>
      <c r="N191" s="1">
        <f t="shared" si="13"/>
        <v>45734.618390668496</v>
      </c>
      <c r="O191" s="1">
        <f t="shared" si="14"/>
        <v>62108.145764923189</v>
      </c>
      <c r="V191" s="1"/>
      <c r="W191" s="1"/>
      <c r="X191" s="1"/>
    </row>
    <row r="192" spans="12:24" x14ac:dyDescent="0.3">
      <c r="L192">
        <v>191</v>
      </c>
      <c r="M192" s="1">
        <f t="shared" si="12"/>
        <v>16571.374163360262</v>
      </c>
      <c r="N192" s="1">
        <f t="shared" si="13"/>
        <v>45536.771601562919</v>
      </c>
      <c r="O192" s="1">
        <f t="shared" si="14"/>
        <v>62108.145764923182</v>
      </c>
      <c r="V192" s="1"/>
      <c r="W192" s="1"/>
      <c r="X192" s="1"/>
    </row>
    <row r="193" spans="12:24" x14ac:dyDescent="0.3">
      <c r="L193">
        <v>192</v>
      </c>
      <c r="M193" s="1">
        <f t="shared" si="12"/>
        <v>16771.611601167537</v>
      </c>
      <c r="N193" s="1">
        <f t="shared" si="13"/>
        <v>45336.534163755648</v>
      </c>
      <c r="O193" s="1">
        <f t="shared" si="14"/>
        <v>62108.145764923189</v>
      </c>
      <c r="V193" s="1"/>
      <c r="W193" s="1"/>
      <c r="X193" s="1"/>
    </row>
    <row r="194" spans="12:24" x14ac:dyDescent="0.3">
      <c r="L194">
        <v>193</v>
      </c>
      <c r="M194" s="1">
        <f t="shared" si="12"/>
        <v>16974.268574681642</v>
      </c>
      <c r="N194" s="1">
        <f t="shared" si="13"/>
        <v>45133.877190241539</v>
      </c>
      <c r="O194" s="1">
        <f t="shared" si="14"/>
        <v>62108.145764923182</v>
      </c>
      <c r="V194" s="1"/>
      <c r="W194" s="1"/>
      <c r="X194" s="1"/>
    </row>
    <row r="195" spans="12:24" x14ac:dyDescent="0.3">
      <c r="L195">
        <v>194</v>
      </c>
      <c r="M195" s="1">
        <f t="shared" ref="M195:M258" si="15">PPMT($J$5/12,L195,$J$6*12,$J$4-$J$3)</f>
        <v>17179.37431995905</v>
      </c>
      <c r="N195" s="1">
        <f t="shared" ref="N195:N258" si="16">IPMT($J$5/12,L195,$J$6*12,$J$4-$J$3)</f>
        <v>44928.771444964135</v>
      </c>
      <c r="O195" s="1">
        <f t="shared" ref="O195:O258" si="17">M195+N195</f>
        <v>62108.145764923189</v>
      </c>
      <c r="V195" s="1"/>
      <c r="W195" s="1"/>
      <c r="X195" s="1"/>
    </row>
    <row r="196" spans="12:24" x14ac:dyDescent="0.3">
      <c r="L196">
        <v>195</v>
      </c>
      <c r="M196" s="1">
        <f t="shared" si="15"/>
        <v>17386.958426325218</v>
      </c>
      <c r="N196" s="1">
        <f t="shared" si="16"/>
        <v>44721.187338597971</v>
      </c>
      <c r="O196" s="1">
        <f t="shared" si="17"/>
        <v>62108.145764923189</v>
      </c>
      <c r="V196" s="1"/>
      <c r="W196" s="1"/>
      <c r="X196" s="1"/>
    </row>
    <row r="197" spans="12:24" x14ac:dyDescent="0.3">
      <c r="L197">
        <v>196</v>
      </c>
      <c r="M197" s="1">
        <f t="shared" si="15"/>
        <v>17597.050840643315</v>
      </c>
      <c r="N197" s="1">
        <f t="shared" si="16"/>
        <v>44511.094924279867</v>
      </c>
      <c r="O197" s="1">
        <f t="shared" si="17"/>
        <v>62108.145764923182</v>
      </c>
      <c r="V197" s="1"/>
      <c r="W197" s="1"/>
      <c r="X197" s="1"/>
    </row>
    <row r="198" spans="12:24" x14ac:dyDescent="0.3">
      <c r="L198">
        <v>197</v>
      </c>
      <c r="M198" s="1">
        <f t="shared" si="15"/>
        <v>17809.681871634424</v>
      </c>
      <c r="N198" s="1">
        <f t="shared" si="16"/>
        <v>44298.463893288754</v>
      </c>
      <c r="O198" s="1">
        <f t="shared" si="17"/>
        <v>62108.145764923174</v>
      </c>
      <c r="V198" s="1"/>
      <c r="W198" s="1"/>
      <c r="X198" s="1"/>
    </row>
    <row r="199" spans="12:24" x14ac:dyDescent="0.3">
      <c r="L199">
        <v>198</v>
      </c>
      <c r="M199" s="1">
        <f t="shared" si="15"/>
        <v>18024.882194250004</v>
      </c>
      <c r="N199" s="1">
        <f t="shared" si="16"/>
        <v>44083.263570673182</v>
      </c>
      <c r="O199" s="1">
        <f t="shared" si="17"/>
        <v>62108.145764923189</v>
      </c>
      <c r="V199" s="1"/>
      <c r="W199" s="1"/>
      <c r="X199" s="1"/>
    </row>
    <row r="200" spans="12:24" x14ac:dyDescent="0.3">
      <c r="L200">
        <v>199</v>
      </c>
      <c r="M200" s="1">
        <f t="shared" si="15"/>
        <v>18242.682854097191</v>
      </c>
      <c r="N200" s="1">
        <f t="shared" si="16"/>
        <v>43865.462910825991</v>
      </c>
      <c r="O200" s="1">
        <f t="shared" si="17"/>
        <v>62108.145764923182</v>
      </c>
      <c r="V200" s="1"/>
      <c r="W200" s="1"/>
      <c r="X200" s="1"/>
    </row>
    <row r="201" spans="12:24" x14ac:dyDescent="0.3">
      <c r="L201">
        <v>200</v>
      </c>
      <c r="M201" s="1">
        <f t="shared" si="15"/>
        <v>18463.115271917533</v>
      </c>
      <c r="N201" s="1">
        <f t="shared" si="16"/>
        <v>43645.030493005659</v>
      </c>
      <c r="O201" s="1">
        <f t="shared" si="17"/>
        <v>62108.145764923189</v>
      </c>
      <c r="V201" s="1"/>
      <c r="W201" s="1"/>
      <c r="X201" s="1"/>
    </row>
    <row r="202" spans="12:24" x14ac:dyDescent="0.3">
      <c r="L202">
        <v>201</v>
      </c>
      <c r="M202" s="1">
        <f t="shared" si="15"/>
        <v>18686.211248119867</v>
      </c>
      <c r="N202" s="1">
        <f t="shared" si="16"/>
        <v>43421.934516803311</v>
      </c>
      <c r="O202" s="1">
        <f t="shared" si="17"/>
        <v>62108.145764923174</v>
      </c>
      <c r="V202" s="1"/>
      <c r="W202" s="1"/>
      <c r="X202" s="1"/>
    </row>
    <row r="203" spans="12:24" x14ac:dyDescent="0.3">
      <c r="L203">
        <v>202</v>
      </c>
      <c r="M203" s="1">
        <f t="shared" si="15"/>
        <v>18912.002967367982</v>
      </c>
      <c r="N203" s="1">
        <f t="shared" si="16"/>
        <v>43196.142797555207</v>
      </c>
      <c r="O203" s="1">
        <f t="shared" si="17"/>
        <v>62108.145764923189</v>
      </c>
      <c r="V203" s="1"/>
      <c r="W203" s="1"/>
      <c r="X203" s="1"/>
    </row>
    <row r="204" spans="12:24" x14ac:dyDescent="0.3">
      <c r="L204">
        <v>203</v>
      </c>
      <c r="M204" s="1">
        <f t="shared" si="15"/>
        <v>19140.523003223683</v>
      </c>
      <c r="N204" s="1">
        <f t="shared" si="16"/>
        <v>42967.622761699495</v>
      </c>
      <c r="O204" s="1">
        <f t="shared" si="17"/>
        <v>62108.145764923174</v>
      </c>
      <c r="V204" s="1"/>
      <c r="W204" s="1"/>
      <c r="X204" s="1"/>
    </row>
    <row r="205" spans="12:24" x14ac:dyDescent="0.3">
      <c r="L205">
        <v>204</v>
      </c>
      <c r="M205" s="1">
        <f t="shared" si="15"/>
        <v>19371.804322845968</v>
      </c>
      <c r="N205" s="1">
        <f t="shared" si="16"/>
        <v>42736.341442077217</v>
      </c>
      <c r="O205" s="1">
        <f t="shared" si="17"/>
        <v>62108.145764923189</v>
      </c>
      <c r="V205" s="1"/>
      <c r="W205" s="1"/>
      <c r="X205" s="1"/>
    </row>
    <row r="206" spans="12:24" x14ac:dyDescent="0.3">
      <c r="L206">
        <v>205</v>
      </c>
      <c r="M206" s="1">
        <f t="shared" si="15"/>
        <v>19605.880291747024</v>
      </c>
      <c r="N206" s="1">
        <f t="shared" si="16"/>
        <v>42502.265473176165</v>
      </c>
      <c r="O206" s="1">
        <f t="shared" si="17"/>
        <v>62108.145764923189</v>
      </c>
      <c r="V206" s="1"/>
      <c r="W206" s="1"/>
      <c r="X206" s="1"/>
    </row>
    <row r="207" spans="12:24" x14ac:dyDescent="0.3">
      <c r="L207">
        <v>206</v>
      </c>
      <c r="M207" s="1">
        <f t="shared" si="15"/>
        <v>19842.784678605633</v>
      </c>
      <c r="N207" s="1">
        <f t="shared" si="16"/>
        <v>42265.361086317549</v>
      </c>
      <c r="O207" s="1">
        <f t="shared" si="17"/>
        <v>62108.145764923182</v>
      </c>
      <c r="V207" s="1"/>
      <c r="W207" s="1"/>
      <c r="X207" s="1"/>
    </row>
    <row r="208" spans="12:24" x14ac:dyDescent="0.3">
      <c r="L208">
        <v>207</v>
      </c>
      <c r="M208" s="1">
        <f t="shared" si="15"/>
        <v>20082.551660138783</v>
      </c>
      <c r="N208" s="1">
        <f t="shared" si="16"/>
        <v>42025.594104784403</v>
      </c>
      <c r="O208" s="1">
        <f t="shared" si="17"/>
        <v>62108.145764923189</v>
      </c>
      <c r="V208" s="1"/>
      <c r="W208" s="1"/>
      <c r="X208" s="1"/>
    </row>
    <row r="209" spans="12:24" x14ac:dyDescent="0.3">
      <c r="L209">
        <v>208</v>
      </c>
      <c r="M209" s="1">
        <f t="shared" si="15"/>
        <v>20325.215826032127</v>
      </c>
      <c r="N209" s="1">
        <f t="shared" si="16"/>
        <v>41782.929938891051</v>
      </c>
      <c r="O209" s="1">
        <f t="shared" si="17"/>
        <v>62108.145764923174</v>
      </c>
      <c r="V209" s="1"/>
      <c r="W209" s="1"/>
      <c r="X209" s="1"/>
    </row>
    <row r="210" spans="12:24" x14ac:dyDescent="0.3">
      <c r="L210">
        <v>209</v>
      </c>
      <c r="M210" s="1">
        <f t="shared" si="15"/>
        <v>20570.812183930015</v>
      </c>
      <c r="N210" s="1">
        <f t="shared" si="16"/>
        <v>41537.333580993167</v>
      </c>
      <c r="O210" s="1">
        <f t="shared" si="17"/>
        <v>62108.145764923182</v>
      </c>
      <c r="V210" s="1"/>
      <c r="W210" s="1"/>
      <c r="X210" s="1"/>
    </row>
    <row r="211" spans="12:24" x14ac:dyDescent="0.3">
      <c r="L211">
        <v>210</v>
      </c>
      <c r="M211" s="1">
        <f t="shared" si="15"/>
        <v>20819.376164485839</v>
      </c>
      <c r="N211" s="1">
        <f t="shared" si="16"/>
        <v>41288.769600437343</v>
      </c>
      <c r="O211" s="1">
        <f t="shared" si="17"/>
        <v>62108.145764923182</v>
      </c>
      <c r="V211" s="1"/>
      <c r="W211" s="1"/>
      <c r="X211" s="1"/>
    </row>
    <row r="212" spans="12:24" x14ac:dyDescent="0.3">
      <c r="L212">
        <v>211</v>
      </c>
      <c r="M212" s="1">
        <f t="shared" si="15"/>
        <v>21070.943626473374</v>
      </c>
      <c r="N212" s="1">
        <f t="shared" si="16"/>
        <v>41037.202138449808</v>
      </c>
      <c r="O212" s="1">
        <f t="shared" si="17"/>
        <v>62108.145764923182</v>
      </c>
      <c r="V212" s="1"/>
      <c r="W212" s="1"/>
      <c r="X212" s="1"/>
    </row>
    <row r="213" spans="12:24" x14ac:dyDescent="0.3">
      <c r="L213">
        <v>212</v>
      </c>
      <c r="M213" s="1">
        <f t="shared" si="15"/>
        <v>21325.550861959928</v>
      </c>
      <c r="N213" s="1">
        <f t="shared" si="16"/>
        <v>40782.594902963261</v>
      </c>
      <c r="O213" s="1">
        <f t="shared" si="17"/>
        <v>62108.145764923189</v>
      </c>
      <c r="V213" s="1"/>
      <c r="W213" s="1"/>
      <c r="X213" s="1"/>
    </row>
    <row r="214" spans="12:24" x14ac:dyDescent="0.3">
      <c r="L214">
        <v>213</v>
      </c>
      <c r="M214" s="1">
        <f t="shared" si="15"/>
        <v>21583.234601541946</v>
      </c>
      <c r="N214" s="1">
        <f t="shared" si="16"/>
        <v>40524.911163381235</v>
      </c>
      <c r="O214" s="1">
        <f t="shared" si="17"/>
        <v>62108.145764923182</v>
      </c>
      <c r="V214" s="1"/>
      <c r="W214" s="1"/>
      <c r="X214" s="1"/>
    </row>
    <row r="215" spans="12:24" x14ac:dyDescent="0.3">
      <c r="L215">
        <v>214</v>
      </c>
      <c r="M215" s="1">
        <f t="shared" si="15"/>
        <v>21844.032019643913</v>
      </c>
      <c r="N215" s="1">
        <f t="shared" si="16"/>
        <v>40264.113745279268</v>
      </c>
      <c r="O215" s="1">
        <f t="shared" si="17"/>
        <v>62108.145764923182</v>
      </c>
      <c r="V215" s="1"/>
      <c r="W215" s="1"/>
      <c r="X215" s="1"/>
    </row>
    <row r="216" spans="12:24" x14ac:dyDescent="0.3">
      <c r="L216">
        <v>215</v>
      </c>
      <c r="M216" s="1">
        <f t="shared" si="15"/>
        <v>22107.980739881274</v>
      </c>
      <c r="N216" s="1">
        <f t="shared" si="16"/>
        <v>40000.165025041912</v>
      </c>
      <c r="O216" s="1">
        <f t="shared" si="17"/>
        <v>62108.145764923189</v>
      </c>
      <c r="V216" s="1"/>
      <c r="W216" s="1"/>
      <c r="X216" s="1"/>
    </row>
    <row r="217" spans="12:24" x14ac:dyDescent="0.3">
      <c r="L217">
        <v>216</v>
      </c>
      <c r="M217" s="1">
        <f t="shared" si="15"/>
        <v>22375.118840488169</v>
      </c>
      <c r="N217" s="1">
        <f t="shared" si="16"/>
        <v>39733.02692443502</v>
      </c>
      <c r="O217" s="1">
        <f t="shared" si="17"/>
        <v>62108.145764923189</v>
      </c>
      <c r="V217" s="1"/>
      <c r="W217" s="1"/>
      <c r="X217" s="1"/>
    </row>
    <row r="218" spans="12:24" x14ac:dyDescent="0.3">
      <c r="L218">
        <v>217</v>
      </c>
      <c r="M218" s="1">
        <f t="shared" si="15"/>
        <v>22645.484859810735</v>
      </c>
      <c r="N218" s="1">
        <f t="shared" si="16"/>
        <v>39462.660905112447</v>
      </c>
      <c r="O218" s="1">
        <f t="shared" si="17"/>
        <v>62108.145764923182</v>
      </c>
      <c r="V218" s="1"/>
      <c r="W218" s="1"/>
      <c r="X218" s="1"/>
    </row>
    <row r="219" spans="12:24" x14ac:dyDescent="0.3">
      <c r="L219">
        <v>218</v>
      </c>
      <c r="M219" s="1">
        <f t="shared" si="15"/>
        <v>22919.117801866782</v>
      </c>
      <c r="N219" s="1">
        <f t="shared" si="16"/>
        <v>39189.027963056404</v>
      </c>
      <c r="O219" s="1">
        <f t="shared" si="17"/>
        <v>62108.145764923189</v>
      </c>
      <c r="V219" s="1"/>
      <c r="W219" s="1"/>
      <c r="X219" s="1"/>
    </row>
    <row r="220" spans="12:24" x14ac:dyDescent="0.3">
      <c r="L220">
        <v>219</v>
      </c>
      <c r="M220" s="1">
        <f t="shared" si="15"/>
        <v>23196.057141972673</v>
      </c>
      <c r="N220" s="1">
        <f t="shared" si="16"/>
        <v>38912.088622950512</v>
      </c>
      <c r="O220" s="1">
        <f t="shared" si="17"/>
        <v>62108.145764923189</v>
      </c>
      <c r="V220" s="1"/>
      <c r="W220" s="1"/>
      <c r="X220" s="1"/>
    </row>
    <row r="221" spans="12:24" x14ac:dyDescent="0.3">
      <c r="L221">
        <v>220</v>
      </c>
      <c r="M221" s="1">
        <f t="shared" si="15"/>
        <v>23476.342832438178</v>
      </c>
      <c r="N221" s="1">
        <f t="shared" si="16"/>
        <v>38631.802932485007</v>
      </c>
      <c r="O221" s="1">
        <f t="shared" si="17"/>
        <v>62108.145764923189</v>
      </c>
      <c r="V221" s="1"/>
      <c r="W221" s="1"/>
      <c r="X221" s="1"/>
    </row>
    <row r="222" spans="12:24" x14ac:dyDescent="0.3">
      <c r="L222">
        <v>221</v>
      </c>
      <c r="M222" s="1">
        <f t="shared" si="15"/>
        <v>23760.015308330137</v>
      </c>
      <c r="N222" s="1">
        <f t="shared" si="16"/>
        <v>38348.13045659304</v>
      </c>
      <c r="O222" s="1">
        <f t="shared" si="17"/>
        <v>62108.145764923174</v>
      </c>
      <c r="V222" s="1"/>
      <c r="W222" s="1"/>
      <c r="X222" s="1"/>
    </row>
    <row r="223" spans="12:24" x14ac:dyDescent="0.3">
      <c r="L223">
        <v>222</v>
      </c>
      <c r="M223" s="1">
        <f t="shared" si="15"/>
        <v>24047.115493305795</v>
      </c>
      <c r="N223" s="1">
        <f t="shared" si="16"/>
        <v>38061.03027161739</v>
      </c>
      <c r="O223" s="1">
        <f t="shared" si="17"/>
        <v>62108.145764923189</v>
      </c>
      <c r="V223" s="1"/>
      <c r="W223" s="1"/>
      <c r="X223" s="1"/>
    </row>
    <row r="224" spans="12:24" x14ac:dyDescent="0.3">
      <c r="L224">
        <v>223</v>
      </c>
      <c r="M224" s="1">
        <f t="shared" si="15"/>
        <v>24337.684805516572</v>
      </c>
      <c r="N224" s="1">
        <f t="shared" si="16"/>
        <v>37770.460959406613</v>
      </c>
      <c r="O224" s="1">
        <f t="shared" si="17"/>
        <v>62108.145764923189</v>
      </c>
      <c r="V224" s="1"/>
      <c r="W224" s="1"/>
      <c r="X224" s="1"/>
    </row>
    <row r="225" spans="12:24" x14ac:dyDescent="0.3">
      <c r="L225">
        <v>224</v>
      </c>
      <c r="M225" s="1">
        <f t="shared" si="15"/>
        <v>24631.76516358323</v>
      </c>
      <c r="N225" s="1">
        <f t="shared" si="16"/>
        <v>37476.380601339959</v>
      </c>
      <c r="O225" s="1">
        <f t="shared" si="17"/>
        <v>62108.145764923189</v>
      </c>
      <c r="V225" s="1"/>
      <c r="W225" s="1"/>
      <c r="X225" s="1"/>
    </row>
    <row r="226" spans="12:24" x14ac:dyDescent="0.3">
      <c r="L226">
        <v>225</v>
      </c>
      <c r="M226" s="1">
        <f t="shared" si="15"/>
        <v>24929.398992643193</v>
      </c>
      <c r="N226" s="1">
        <f t="shared" si="16"/>
        <v>37178.746772279985</v>
      </c>
      <c r="O226" s="1">
        <f t="shared" si="17"/>
        <v>62108.145764923174</v>
      </c>
      <c r="V226" s="1"/>
      <c r="W226" s="1"/>
      <c r="X226" s="1"/>
    </row>
    <row r="227" spans="12:24" x14ac:dyDescent="0.3">
      <c r="L227">
        <v>226</v>
      </c>
      <c r="M227" s="1">
        <f t="shared" si="15"/>
        <v>25230.629230470968</v>
      </c>
      <c r="N227" s="1">
        <f t="shared" si="16"/>
        <v>36877.516534452217</v>
      </c>
      <c r="O227" s="1">
        <f t="shared" si="17"/>
        <v>62108.145764923189</v>
      </c>
      <c r="V227" s="1"/>
      <c r="W227" s="1"/>
      <c r="X227" s="1"/>
    </row>
    <row r="228" spans="12:24" x14ac:dyDescent="0.3">
      <c r="L228">
        <v>227</v>
      </c>
      <c r="M228" s="1">
        <f t="shared" si="15"/>
        <v>25535.499333672491</v>
      </c>
      <c r="N228" s="1">
        <f t="shared" si="16"/>
        <v>36572.646431250701</v>
      </c>
      <c r="O228" s="1">
        <f t="shared" si="17"/>
        <v>62108.145764923189</v>
      </c>
      <c r="V228" s="1"/>
      <c r="W228" s="1"/>
      <c r="X228" s="1"/>
    </row>
    <row r="229" spans="12:24" x14ac:dyDescent="0.3">
      <c r="L229">
        <v>228</v>
      </c>
      <c r="M229" s="1">
        <f t="shared" si="15"/>
        <v>25844.053283954367</v>
      </c>
      <c r="N229" s="1">
        <f t="shared" si="16"/>
        <v>36264.092480968822</v>
      </c>
      <c r="O229" s="1">
        <f t="shared" si="17"/>
        <v>62108.145764923189</v>
      </c>
      <c r="V229" s="1"/>
      <c r="W229" s="1"/>
      <c r="X229" s="1"/>
    </row>
    <row r="230" spans="12:24" x14ac:dyDescent="0.3">
      <c r="L230">
        <v>229</v>
      </c>
      <c r="M230" s="1">
        <f t="shared" si="15"/>
        <v>26156.335594468816</v>
      </c>
      <c r="N230" s="1">
        <f t="shared" si="16"/>
        <v>35951.810170454373</v>
      </c>
      <c r="O230" s="1">
        <f t="shared" si="17"/>
        <v>62108.145764923189</v>
      </c>
      <c r="V230" s="1"/>
      <c r="W230" s="1"/>
      <c r="X230" s="1"/>
    </row>
    <row r="231" spans="12:24" x14ac:dyDescent="0.3">
      <c r="L231">
        <v>230</v>
      </c>
      <c r="M231" s="1">
        <f t="shared" si="15"/>
        <v>26472.391316235313</v>
      </c>
      <c r="N231" s="1">
        <f t="shared" si="16"/>
        <v>35635.754448687869</v>
      </c>
      <c r="O231" s="1">
        <f t="shared" si="17"/>
        <v>62108.145764923182</v>
      </c>
      <c r="V231" s="1"/>
      <c r="W231" s="1"/>
      <c r="X231" s="1"/>
    </row>
    <row r="232" spans="12:24" x14ac:dyDescent="0.3">
      <c r="L232">
        <v>231</v>
      </c>
      <c r="M232" s="1">
        <f t="shared" si="15"/>
        <v>26792.266044639826</v>
      </c>
      <c r="N232" s="1">
        <f t="shared" si="16"/>
        <v>35315.879720283359</v>
      </c>
      <c r="O232" s="1">
        <f t="shared" si="17"/>
        <v>62108.145764923189</v>
      </c>
      <c r="V232" s="1"/>
      <c r="W232" s="1"/>
      <c r="X232" s="1"/>
    </row>
    <row r="233" spans="12:24" x14ac:dyDescent="0.3">
      <c r="L233">
        <v>232</v>
      </c>
      <c r="M233" s="1">
        <f t="shared" si="15"/>
        <v>27116.005926012553</v>
      </c>
      <c r="N233" s="1">
        <f t="shared" si="16"/>
        <v>34992.139838910633</v>
      </c>
      <c r="O233" s="1">
        <f t="shared" si="17"/>
        <v>62108.145764923189</v>
      </c>
      <c r="V233" s="1"/>
      <c r="W233" s="1"/>
      <c r="X233" s="1"/>
    </row>
    <row r="234" spans="12:24" x14ac:dyDescent="0.3">
      <c r="L234">
        <v>233</v>
      </c>
      <c r="M234" s="1">
        <f t="shared" si="15"/>
        <v>27443.657664285205</v>
      </c>
      <c r="N234" s="1">
        <f t="shared" si="16"/>
        <v>34664.488100637973</v>
      </c>
      <c r="O234" s="1">
        <f t="shared" si="17"/>
        <v>62108.145764923174</v>
      </c>
      <c r="V234" s="1"/>
      <c r="W234" s="1"/>
      <c r="X234" s="1"/>
    </row>
    <row r="235" spans="12:24" x14ac:dyDescent="0.3">
      <c r="L235">
        <v>234</v>
      </c>
      <c r="M235" s="1">
        <f t="shared" si="15"/>
        <v>27775.268527728647</v>
      </c>
      <c r="N235" s="1">
        <f t="shared" si="16"/>
        <v>34332.877237194538</v>
      </c>
      <c r="O235" s="1">
        <f t="shared" si="17"/>
        <v>62108.145764923189</v>
      </c>
      <c r="V235" s="1"/>
      <c r="W235" s="1"/>
      <c r="X235" s="1"/>
    </row>
    <row r="236" spans="12:24" x14ac:dyDescent="0.3">
      <c r="L236">
        <v>235</v>
      </c>
      <c r="M236" s="1">
        <f t="shared" si="15"/>
        <v>28110.88635577204</v>
      </c>
      <c r="N236" s="1">
        <f t="shared" si="16"/>
        <v>33997.259409151142</v>
      </c>
      <c r="O236" s="1">
        <f t="shared" si="17"/>
        <v>62108.145764923182</v>
      </c>
      <c r="V236" s="1"/>
      <c r="W236" s="1"/>
      <c r="X236" s="1"/>
    </row>
    <row r="237" spans="12:24" x14ac:dyDescent="0.3">
      <c r="L237">
        <v>236</v>
      </c>
      <c r="M237" s="1">
        <f t="shared" si="15"/>
        <v>28450.559565904288</v>
      </c>
      <c r="N237" s="1">
        <f t="shared" si="16"/>
        <v>33657.586199018901</v>
      </c>
      <c r="O237" s="1">
        <f t="shared" si="17"/>
        <v>62108.145764923189</v>
      </c>
      <c r="V237" s="1"/>
      <c r="W237" s="1"/>
      <c r="X237" s="1"/>
    </row>
    <row r="238" spans="12:24" x14ac:dyDescent="0.3">
      <c r="L238">
        <v>237</v>
      </c>
      <c r="M238" s="1">
        <f t="shared" si="15"/>
        <v>28794.337160658968</v>
      </c>
      <c r="N238" s="1">
        <f t="shared" si="16"/>
        <v>33313.808604264217</v>
      </c>
      <c r="O238" s="1">
        <f t="shared" si="17"/>
        <v>62108.145764923189</v>
      </c>
      <c r="V238" s="1"/>
      <c r="W238" s="1"/>
      <c r="X238" s="1"/>
    </row>
    <row r="239" spans="12:24" x14ac:dyDescent="0.3">
      <c r="L239">
        <v>238</v>
      </c>
      <c r="M239" s="1">
        <f t="shared" si="15"/>
        <v>29142.268734683592</v>
      </c>
      <c r="N239" s="1">
        <f t="shared" si="16"/>
        <v>32965.877030239601</v>
      </c>
      <c r="O239" s="1">
        <f t="shared" si="17"/>
        <v>62108.145764923189</v>
      </c>
      <c r="V239" s="1"/>
      <c r="W239" s="1"/>
      <c r="X239" s="1"/>
    </row>
    <row r="240" spans="12:24" x14ac:dyDescent="0.3">
      <c r="L240">
        <v>239</v>
      </c>
      <c r="M240" s="1">
        <f t="shared" si="15"/>
        <v>29494.404481894355</v>
      </c>
      <c r="N240" s="1">
        <f t="shared" si="16"/>
        <v>32613.74128302883</v>
      </c>
      <c r="O240" s="1">
        <f t="shared" si="17"/>
        <v>62108.145764923189</v>
      </c>
      <c r="V240" s="1"/>
      <c r="W240" s="1"/>
      <c r="X240" s="1"/>
    </row>
    <row r="241" spans="12:24" x14ac:dyDescent="0.3">
      <c r="L241">
        <v>240</v>
      </c>
      <c r="M241" s="1">
        <f t="shared" si="15"/>
        <v>29850.795202717243</v>
      </c>
      <c r="N241" s="1">
        <f t="shared" si="16"/>
        <v>32257.350562205935</v>
      </c>
      <c r="O241" s="1">
        <f t="shared" si="17"/>
        <v>62108.145764923174</v>
      </c>
      <c r="V241" s="1"/>
      <c r="W241" s="1"/>
      <c r="X241" s="1"/>
    </row>
    <row r="242" spans="12:24" x14ac:dyDescent="0.3">
      <c r="L242">
        <v>241</v>
      </c>
      <c r="M242" s="1">
        <f t="shared" si="15"/>
        <v>30211.492311416743</v>
      </c>
      <c r="N242" s="1">
        <f t="shared" si="16"/>
        <v>31896.653453506442</v>
      </c>
      <c r="O242" s="1">
        <f t="shared" si="17"/>
        <v>62108.145764923189</v>
      </c>
      <c r="V242" s="1"/>
      <c r="W242" s="1"/>
      <c r="X242" s="1"/>
    </row>
    <row r="243" spans="12:24" x14ac:dyDescent="0.3">
      <c r="L243">
        <v>242</v>
      </c>
      <c r="M243" s="1">
        <f t="shared" si="15"/>
        <v>30576.547843513028</v>
      </c>
      <c r="N243" s="1">
        <f t="shared" si="16"/>
        <v>31531.597921410157</v>
      </c>
      <c r="O243" s="1">
        <f t="shared" si="17"/>
        <v>62108.145764923189</v>
      </c>
      <c r="V243" s="1"/>
      <c r="W243" s="1"/>
      <c r="X243" s="1"/>
    </row>
    <row r="244" spans="12:24" x14ac:dyDescent="0.3">
      <c r="L244">
        <v>243</v>
      </c>
      <c r="M244" s="1">
        <f t="shared" si="15"/>
        <v>30946.014463288811</v>
      </c>
      <c r="N244" s="1">
        <f t="shared" si="16"/>
        <v>31162.131301634374</v>
      </c>
      <c r="O244" s="1">
        <f t="shared" si="17"/>
        <v>62108.145764923189</v>
      </c>
      <c r="V244" s="1"/>
      <c r="W244" s="1"/>
      <c r="X244" s="1"/>
    </row>
    <row r="245" spans="12:24" x14ac:dyDescent="0.3">
      <c r="L245">
        <v>244</v>
      </c>
      <c r="M245" s="1">
        <f t="shared" si="15"/>
        <v>31319.945471386884</v>
      </c>
      <c r="N245" s="1">
        <f t="shared" si="16"/>
        <v>30788.200293536302</v>
      </c>
      <c r="O245" s="1">
        <f t="shared" si="17"/>
        <v>62108.145764923189</v>
      </c>
      <c r="V245" s="1"/>
      <c r="W245" s="1"/>
      <c r="X245" s="1"/>
    </row>
    <row r="246" spans="12:24" x14ac:dyDescent="0.3">
      <c r="L246">
        <v>245</v>
      </c>
      <c r="M246" s="1">
        <f t="shared" si="15"/>
        <v>31698.394812499475</v>
      </c>
      <c r="N246" s="1">
        <f t="shared" si="16"/>
        <v>30409.75095242371</v>
      </c>
      <c r="O246" s="1">
        <f t="shared" si="17"/>
        <v>62108.145764923189</v>
      </c>
      <c r="V246" s="1"/>
      <c r="W246" s="1"/>
      <c r="X246" s="1"/>
    </row>
    <row r="247" spans="12:24" x14ac:dyDescent="0.3">
      <c r="L247">
        <v>246</v>
      </c>
      <c r="M247" s="1">
        <f t="shared" si="15"/>
        <v>32081.417083150511</v>
      </c>
      <c r="N247" s="1">
        <f t="shared" si="16"/>
        <v>30026.728681772674</v>
      </c>
      <c r="O247" s="1">
        <f t="shared" si="17"/>
        <v>62108.145764923189</v>
      </c>
      <c r="V247" s="1"/>
      <c r="W247" s="1"/>
      <c r="X247" s="1"/>
    </row>
    <row r="248" spans="12:24" x14ac:dyDescent="0.3">
      <c r="L248">
        <v>247</v>
      </c>
      <c r="M248" s="1">
        <f t="shared" si="15"/>
        <v>32469.067539571908</v>
      </c>
      <c r="N248" s="1">
        <f t="shared" si="16"/>
        <v>29639.078225351277</v>
      </c>
      <c r="O248" s="1">
        <f t="shared" si="17"/>
        <v>62108.145764923189</v>
      </c>
      <c r="V248" s="1"/>
      <c r="W248" s="1"/>
      <c r="X248" s="1"/>
    </row>
    <row r="249" spans="12:24" x14ac:dyDescent="0.3">
      <c r="L249">
        <v>248</v>
      </c>
      <c r="M249" s="1">
        <f t="shared" si="15"/>
        <v>32861.402105675072</v>
      </c>
      <c r="N249" s="1">
        <f t="shared" si="16"/>
        <v>29246.743659248106</v>
      </c>
      <c r="O249" s="1">
        <f t="shared" si="17"/>
        <v>62108.145764923174</v>
      </c>
      <c r="V249" s="1"/>
      <c r="W249" s="1"/>
      <c r="X249" s="1"/>
    </row>
    <row r="250" spans="12:24" x14ac:dyDescent="0.3">
      <c r="L250">
        <v>249</v>
      </c>
      <c r="M250" s="1">
        <f t="shared" si="15"/>
        <v>33258.477381118646</v>
      </c>
      <c r="N250" s="1">
        <f t="shared" si="16"/>
        <v>28849.668383804536</v>
      </c>
      <c r="O250" s="1">
        <f t="shared" si="17"/>
        <v>62108.145764923182</v>
      </c>
      <c r="V250" s="1"/>
      <c r="W250" s="1"/>
      <c r="X250" s="1"/>
    </row>
    <row r="251" spans="12:24" x14ac:dyDescent="0.3">
      <c r="L251">
        <v>250</v>
      </c>
      <c r="M251" s="1">
        <f t="shared" si="15"/>
        <v>33660.350649473839</v>
      </c>
      <c r="N251" s="1">
        <f t="shared" si="16"/>
        <v>28447.795115449353</v>
      </c>
      <c r="O251" s="1">
        <f t="shared" si="17"/>
        <v>62108.145764923189</v>
      </c>
      <c r="V251" s="1"/>
      <c r="W251" s="1"/>
      <c r="X251" s="1"/>
    </row>
    <row r="252" spans="12:24" x14ac:dyDescent="0.3">
      <c r="L252">
        <v>251</v>
      </c>
      <c r="M252" s="1">
        <f t="shared" si="15"/>
        <v>34067.079886488304</v>
      </c>
      <c r="N252" s="1">
        <f t="shared" si="16"/>
        <v>28041.065878434885</v>
      </c>
      <c r="O252" s="1">
        <f t="shared" si="17"/>
        <v>62108.145764923189</v>
      </c>
      <c r="V252" s="1"/>
      <c r="W252" s="1"/>
      <c r="X252" s="1"/>
    </row>
    <row r="253" spans="12:24" x14ac:dyDescent="0.3">
      <c r="L253">
        <v>252</v>
      </c>
      <c r="M253" s="1">
        <f t="shared" si="15"/>
        <v>34478.723768450043</v>
      </c>
      <c r="N253" s="1">
        <f t="shared" si="16"/>
        <v>27629.421996473142</v>
      </c>
      <c r="O253" s="1">
        <f t="shared" si="17"/>
        <v>62108.145764923189</v>
      </c>
      <c r="V253" s="1"/>
      <c r="W253" s="1"/>
      <c r="X253" s="1"/>
    </row>
    <row r="254" spans="12:24" x14ac:dyDescent="0.3">
      <c r="L254">
        <v>253</v>
      </c>
      <c r="M254" s="1">
        <f t="shared" si="15"/>
        <v>34895.341680652142</v>
      </c>
      <c r="N254" s="1">
        <f t="shared" si="16"/>
        <v>27212.80408427104</v>
      </c>
      <c r="O254" s="1">
        <f t="shared" si="17"/>
        <v>62108.145764923182</v>
      </c>
      <c r="V254" s="1"/>
      <c r="W254" s="1"/>
      <c r="X254" s="1"/>
    </row>
    <row r="255" spans="12:24" x14ac:dyDescent="0.3">
      <c r="L255">
        <v>254</v>
      </c>
      <c r="M255" s="1">
        <f t="shared" si="15"/>
        <v>35316.993725960026</v>
      </c>
      <c r="N255" s="1">
        <f t="shared" si="16"/>
        <v>26791.152038963162</v>
      </c>
      <c r="O255" s="1">
        <f t="shared" si="17"/>
        <v>62108.145764923189</v>
      </c>
      <c r="V255" s="1"/>
      <c r="W255" s="1"/>
      <c r="X255" s="1"/>
    </row>
    <row r="256" spans="12:24" x14ac:dyDescent="0.3">
      <c r="L256">
        <v>255</v>
      </c>
      <c r="M256" s="1">
        <f t="shared" si="15"/>
        <v>35743.740733482038</v>
      </c>
      <c r="N256" s="1">
        <f t="shared" si="16"/>
        <v>26364.405031441151</v>
      </c>
      <c r="O256" s="1">
        <f t="shared" si="17"/>
        <v>62108.145764923189</v>
      </c>
      <c r="V256" s="1"/>
      <c r="W256" s="1"/>
      <c r="X256" s="1"/>
    </row>
    <row r="257" spans="12:24" x14ac:dyDescent="0.3">
      <c r="L257">
        <v>256</v>
      </c>
      <c r="M257" s="1">
        <f t="shared" si="15"/>
        <v>36175.644267344949</v>
      </c>
      <c r="N257" s="1">
        <f t="shared" si="16"/>
        <v>25932.501497578236</v>
      </c>
      <c r="O257" s="1">
        <f t="shared" si="17"/>
        <v>62108.145764923189</v>
      </c>
      <c r="V257" s="1"/>
      <c r="W257" s="1"/>
      <c r="X257" s="1"/>
    </row>
    <row r="258" spans="12:24" x14ac:dyDescent="0.3">
      <c r="L258">
        <v>257</v>
      </c>
      <c r="M258" s="1">
        <f t="shared" si="15"/>
        <v>36612.766635575368</v>
      </c>
      <c r="N258" s="1">
        <f t="shared" si="16"/>
        <v>25495.379129347821</v>
      </c>
      <c r="O258" s="1">
        <f t="shared" si="17"/>
        <v>62108.145764923189</v>
      </c>
      <c r="V258" s="1"/>
      <c r="W258" s="1"/>
      <c r="X258" s="1"/>
    </row>
    <row r="259" spans="12:24" x14ac:dyDescent="0.3">
      <c r="L259">
        <v>258</v>
      </c>
      <c r="M259" s="1">
        <f t="shared" ref="M259:M301" si="18">PPMT($J$5/12,L259,$J$6*12,$J$4-$J$3)</f>
        <v>37055.170899088567</v>
      </c>
      <c r="N259" s="1">
        <f t="shared" ref="N259:N301" si="19">IPMT($J$5/12,L259,$J$6*12,$J$4-$J$3)</f>
        <v>25052.974865834611</v>
      </c>
      <c r="O259" s="1">
        <f t="shared" ref="O259:O301" si="20">M259+N259</f>
        <v>62108.145764923174</v>
      </c>
      <c r="V259" s="1"/>
      <c r="W259" s="1"/>
      <c r="X259" s="1"/>
    </row>
    <row r="260" spans="12:24" x14ac:dyDescent="0.3">
      <c r="L260">
        <v>259</v>
      </c>
      <c r="M260" s="1">
        <f t="shared" si="18"/>
        <v>37502.920880785889</v>
      </c>
      <c r="N260" s="1">
        <f t="shared" si="19"/>
        <v>24605.2248841373</v>
      </c>
      <c r="O260" s="1">
        <f t="shared" si="20"/>
        <v>62108.145764923189</v>
      </c>
      <c r="V260" s="1"/>
      <c r="W260" s="1"/>
      <c r="X260" s="1"/>
    </row>
    <row r="261" spans="12:24" x14ac:dyDescent="0.3">
      <c r="L261">
        <v>260</v>
      </c>
      <c r="M261" s="1">
        <f t="shared" si="18"/>
        <v>37956.081174762061</v>
      </c>
      <c r="N261" s="1">
        <f t="shared" si="19"/>
        <v>24152.064590161131</v>
      </c>
      <c r="O261" s="1">
        <f t="shared" si="20"/>
        <v>62108.145764923189</v>
      </c>
      <c r="V261" s="1"/>
      <c r="W261" s="1"/>
      <c r="X261" s="1"/>
    </row>
    <row r="262" spans="12:24" x14ac:dyDescent="0.3">
      <c r="L262">
        <v>261</v>
      </c>
      <c r="M262" s="1">
        <f t="shared" si="18"/>
        <v>38414.717155623766</v>
      </c>
      <c r="N262" s="1">
        <f t="shared" si="19"/>
        <v>23693.428609299426</v>
      </c>
      <c r="O262" s="1">
        <f t="shared" si="20"/>
        <v>62108.145764923189</v>
      </c>
      <c r="V262" s="1"/>
      <c r="W262" s="1"/>
      <c r="X262" s="1"/>
    </row>
    <row r="263" spans="12:24" x14ac:dyDescent="0.3">
      <c r="L263">
        <v>262</v>
      </c>
      <c r="M263" s="1">
        <f t="shared" si="18"/>
        <v>38878.894987920889</v>
      </c>
      <c r="N263" s="1">
        <f t="shared" si="19"/>
        <v>23229.250777002304</v>
      </c>
      <c r="O263" s="1">
        <f t="shared" si="20"/>
        <v>62108.145764923189</v>
      </c>
      <c r="V263" s="1"/>
      <c r="W263" s="1"/>
      <c r="X263" s="1"/>
    </row>
    <row r="264" spans="12:24" x14ac:dyDescent="0.3">
      <c r="L264">
        <v>263</v>
      </c>
      <c r="M264" s="1">
        <f t="shared" si="18"/>
        <v>39348.681635691595</v>
      </c>
      <c r="N264" s="1">
        <f t="shared" si="19"/>
        <v>22759.464129231594</v>
      </c>
      <c r="O264" s="1">
        <f t="shared" si="20"/>
        <v>62108.145764923189</v>
      </c>
      <c r="V264" s="1"/>
      <c r="W264" s="1"/>
      <c r="X264" s="1"/>
    </row>
    <row r="265" spans="12:24" x14ac:dyDescent="0.3">
      <c r="L265">
        <v>264</v>
      </c>
      <c r="M265" s="1">
        <f t="shared" si="18"/>
        <v>39824.144872122866</v>
      </c>
      <c r="N265" s="1">
        <f t="shared" si="19"/>
        <v>22284.000892800319</v>
      </c>
      <c r="O265" s="1">
        <f t="shared" si="20"/>
        <v>62108.145764923189</v>
      </c>
      <c r="V265" s="1"/>
      <c r="W265" s="1"/>
      <c r="X265" s="1"/>
    </row>
    <row r="266" spans="12:24" x14ac:dyDescent="0.3">
      <c r="L266">
        <v>265</v>
      </c>
      <c r="M266" s="1">
        <f t="shared" si="18"/>
        <v>40305.353289327686</v>
      </c>
      <c r="N266" s="1">
        <f t="shared" si="19"/>
        <v>21802.792475595503</v>
      </c>
      <c r="O266" s="1">
        <f t="shared" si="20"/>
        <v>62108.145764923189</v>
      </c>
      <c r="V266" s="1"/>
      <c r="W266" s="1"/>
      <c r="X266" s="1"/>
    </row>
    <row r="267" spans="12:24" x14ac:dyDescent="0.3">
      <c r="L267">
        <v>266</v>
      </c>
      <c r="M267" s="1">
        <f t="shared" si="18"/>
        <v>40792.376308240389</v>
      </c>
      <c r="N267" s="1">
        <f t="shared" si="19"/>
        <v>21315.769456682792</v>
      </c>
      <c r="O267" s="1">
        <f t="shared" si="20"/>
        <v>62108.145764923182</v>
      </c>
      <c r="V267" s="1"/>
      <c r="W267" s="1"/>
      <c r="X267" s="1"/>
    </row>
    <row r="268" spans="12:24" x14ac:dyDescent="0.3">
      <c r="L268">
        <v>267</v>
      </c>
      <c r="M268" s="1">
        <f t="shared" si="18"/>
        <v>41285.284188631631</v>
      </c>
      <c r="N268" s="1">
        <f t="shared" si="19"/>
        <v>20822.861576291554</v>
      </c>
      <c r="O268" s="1">
        <f t="shared" si="20"/>
        <v>62108.145764923189</v>
      </c>
      <c r="V268" s="1"/>
      <c r="W268" s="1"/>
      <c r="X268" s="1"/>
    </row>
    <row r="269" spans="12:24" x14ac:dyDescent="0.3">
      <c r="L269">
        <v>268</v>
      </c>
      <c r="M269" s="1">
        <f t="shared" si="18"/>
        <v>41784.148039244261</v>
      </c>
      <c r="N269" s="1">
        <f t="shared" si="19"/>
        <v>20323.997725678921</v>
      </c>
      <c r="O269" s="1">
        <f t="shared" si="20"/>
        <v>62108.145764923182</v>
      </c>
      <c r="V269" s="1"/>
      <c r="W269" s="1"/>
      <c r="X269" s="1"/>
    </row>
    <row r="270" spans="12:24" x14ac:dyDescent="0.3">
      <c r="L270">
        <v>269</v>
      </c>
      <c r="M270" s="1">
        <f t="shared" si="18"/>
        <v>42289.039828051798</v>
      </c>
      <c r="N270" s="1">
        <f t="shared" si="19"/>
        <v>19819.105936871387</v>
      </c>
      <c r="O270" s="1">
        <f t="shared" si="20"/>
        <v>62108.145764923189</v>
      </c>
      <c r="V270" s="1"/>
      <c r="W270" s="1"/>
      <c r="X270" s="1"/>
    </row>
    <row r="271" spans="12:24" x14ac:dyDescent="0.3">
      <c r="L271">
        <v>270</v>
      </c>
      <c r="M271" s="1">
        <f t="shared" si="18"/>
        <v>42800.032392640758</v>
      </c>
      <c r="N271" s="1">
        <f t="shared" si="19"/>
        <v>19308.113372282427</v>
      </c>
      <c r="O271" s="1">
        <f t="shared" si="20"/>
        <v>62108.145764923189</v>
      </c>
      <c r="V271" s="1"/>
      <c r="W271" s="1"/>
      <c r="X271" s="1"/>
    </row>
    <row r="272" spans="12:24" x14ac:dyDescent="0.3">
      <c r="L272">
        <v>271</v>
      </c>
      <c r="M272" s="1">
        <f t="shared" si="18"/>
        <v>43317.199450718501</v>
      </c>
      <c r="N272" s="1">
        <f t="shared" si="19"/>
        <v>18790.946314204684</v>
      </c>
      <c r="O272" s="1">
        <f t="shared" si="20"/>
        <v>62108.145764923189</v>
      </c>
      <c r="V272" s="1"/>
      <c r="W272" s="1"/>
      <c r="X272" s="1"/>
    </row>
    <row r="273" spans="12:24" x14ac:dyDescent="0.3">
      <c r="L273">
        <v>272</v>
      </c>
      <c r="M273" s="1">
        <f t="shared" si="18"/>
        <v>43840.615610748013</v>
      </c>
      <c r="N273" s="1">
        <f t="shared" si="19"/>
        <v>18267.530154175169</v>
      </c>
      <c r="O273" s="1">
        <f t="shared" si="20"/>
        <v>62108.145764923182</v>
      </c>
      <c r="V273" s="1"/>
      <c r="W273" s="1"/>
      <c r="X273" s="1"/>
    </row>
    <row r="274" spans="12:24" x14ac:dyDescent="0.3">
      <c r="L274">
        <v>273</v>
      </c>
      <c r="M274" s="1">
        <f t="shared" si="18"/>
        <v>44370.356382711216</v>
      </c>
      <c r="N274" s="1">
        <f t="shared" si="19"/>
        <v>17737.789382211966</v>
      </c>
      <c r="O274" s="1">
        <f t="shared" si="20"/>
        <v>62108.145764923182</v>
      </c>
      <c r="V274" s="1"/>
      <c r="W274" s="1"/>
      <c r="X274" s="1"/>
    </row>
    <row r="275" spans="12:24" x14ac:dyDescent="0.3">
      <c r="L275">
        <v>274</v>
      </c>
      <c r="M275" s="1">
        <f t="shared" si="18"/>
        <v>44906.498189002319</v>
      </c>
      <c r="N275" s="1">
        <f t="shared" si="19"/>
        <v>17201.647575920873</v>
      </c>
      <c r="O275" s="1">
        <f t="shared" si="20"/>
        <v>62108.145764923189</v>
      </c>
      <c r="V275" s="1"/>
      <c r="W275" s="1"/>
      <c r="X275" s="1"/>
    </row>
    <row r="276" spans="12:24" x14ac:dyDescent="0.3">
      <c r="L276">
        <v>275</v>
      </c>
      <c r="M276" s="1">
        <f t="shared" si="18"/>
        <v>45449.118375452759</v>
      </c>
      <c r="N276" s="1">
        <f t="shared" si="19"/>
        <v>16659.027389470426</v>
      </c>
      <c r="O276" s="1">
        <f t="shared" si="20"/>
        <v>62108.145764923189</v>
      </c>
      <c r="V276" s="1"/>
      <c r="W276" s="1"/>
      <c r="X276" s="1"/>
    </row>
    <row r="277" spans="12:24" x14ac:dyDescent="0.3">
      <c r="L277">
        <v>276</v>
      </c>
      <c r="M277" s="1">
        <f t="shared" si="18"/>
        <v>45998.295222489483</v>
      </c>
      <c r="N277" s="1">
        <f t="shared" si="19"/>
        <v>16109.850542433705</v>
      </c>
      <c r="O277" s="1">
        <f t="shared" si="20"/>
        <v>62108.145764923189</v>
      </c>
      <c r="V277" s="1"/>
      <c r="W277" s="1"/>
      <c r="X277" s="1"/>
    </row>
    <row r="278" spans="12:24" x14ac:dyDescent="0.3">
      <c r="L278">
        <v>277</v>
      </c>
      <c r="M278" s="1">
        <f t="shared" si="18"/>
        <v>46554.107956427892</v>
      </c>
      <c r="N278" s="1">
        <f t="shared" si="19"/>
        <v>15554.037808495292</v>
      </c>
      <c r="O278" s="1">
        <f t="shared" si="20"/>
        <v>62108.145764923182</v>
      </c>
      <c r="V278" s="1"/>
      <c r="W278" s="1"/>
      <c r="X278" s="1"/>
    </row>
    <row r="279" spans="12:24" x14ac:dyDescent="0.3">
      <c r="L279">
        <v>278</v>
      </c>
      <c r="M279" s="1">
        <f t="shared" si="18"/>
        <v>47116.636760901398</v>
      </c>
      <c r="N279" s="1">
        <f t="shared" si="19"/>
        <v>14991.509004021789</v>
      </c>
      <c r="O279" s="1">
        <f t="shared" si="20"/>
        <v>62108.145764923189</v>
      </c>
      <c r="V279" s="1"/>
      <c r="W279" s="1"/>
      <c r="X279" s="1"/>
    </row>
    <row r="280" spans="12:24" x14ac:dyDescent="0.3">
      <c r="L280">
        <v>279</v>
      </c>
      <c r="M280" s="1">
        <f t="shared" si="18"/>
        <v>47685.962788428958</v>
      </c>
      <c r="N280" s="1">
        <f t="shared" si="19"/>
        <v>14422.182976494227</v>
      </c>
      <c r="O280" s="1">
        <f t="shared" si="20"/>
        <v>62108.145764923189</v>
      </c>
      <c r="V280" s="1"/>
      <c r="W280" s="1"/>
      <c r="X280" s="1"/>
    </row>
    <row r="281" spans="12:24" x14ac:dyDescent="0.3">
      <c r="L281">
        <v>280</v>
      </c>
      <c r="M281" s="1">
        <f t="shared" si="18"/>
        <v>48262.168172122481</v>
      </c>
      <c r="N281" s="1">
        <f t="shared" si="19"/>
        <v>13845.977592800709</v>
      </c>
      <c r="O281" s="1">
        <f t="shared" si="20"/>
        <v>62108.145764923189</v>
      </c>
      <c r="V281" s="1"/>
      <c r="W281" s="1"/>
      <c r="X281" s="1"/>
    </row>
    <row r="282" spans="12:24" x14ac:dyDescent="0.3">
      <c r="L282">
        <v>281</v>
      </c>
      <c r="M282" s="1">
        <f t="shared" si="18"/>
        <v>48845.336037535628</v>
      </c>
      <c r="N282" s="1">
        <f t="shared" si="19"/>
        <v>13262.809727387566</v>
      </c>
      <c r="O282" s="1">
        <f t="shared" si="20"/>
        <v>62108.145764923196</v>
      </c>
      <c r="V282" s="1"/>
      <c r="W282" s="1"/>
      <c r="X282" s="1"/>
    </row>
    <row r="283" spans="12:24" x14ac:dyDescent="0.3">
      <c r="L283">
        <v>282</v>
      </c>
      <c r="M283" s="1">
        <f t="shared" si="18"/>
        <v>49435.550514655843</v>
      </c>
      <c r="N283" s="1">
        <f t="shared" si="19"/>
        <v>12672.595250267343</v>
      </c>
      <c r="O283" s="1">
        <f t="shared" si="20"/>
        <v>62108.145764923189</v>
      </c>
      <c r="V283" s="1"/>
      <c r="W283" s="1"/>
      <c r="X283" s="1"/>
    </row>
    <row r="284" spans="12:24" x14ac:dyDescent="0.3">
      <c r="L284">
        <v>283</v>
      </c>
      <c r="M284" s="1">
        <f t="shared" si="18"/>
        <v>50032.896750041262</v>
      </c>
      <c r="N284" s="1">
        <f t="shared" si="19"/>
        <v>12075.249014881918</v>
      </c>
      <c r="O284" s="1">
        <f t="shared" si="20"/>
        <v>62108.145764923182</v>
      </c>
      <c r="V284" s="1"/>
      <c r="W284" s="1"/>
      <c r="X284" s="1"/>
    </row>
    <row r="285" spans="12:24" x14ac:dyDescent="0.3">
      <c r="L285">
        <v>284</v>
      </c>
      <c r="M285" s="1">
        <f t="shared" si="18"/>
        <v>50637.460919104262</v>
      </c>
      <c r="N285" s="1">
        <f t="shared" si="19"/>
        <v>11470.68484581892</v>
      </c>
      <c r="O285" s="1">
        <f t="shared" si="20"/>
        <v>62108.145764923182</v>
      </c>
      <c r="V285" s="1"/>
      <c r="W285" s="1"/>
      <c r="X285" s="1"/>
    </row>
    <row r="286" spans="12:24" x14ac:dyDescent="0.3">
      <c r="L286">
        <v>285</v>
      </c>
      <c r="M286" s="1">
        <f t="shared" si="18"/>
        <v>51249.330238543444</v>
      </c>
      <c r="N286" s="1">
        <f t="shared" si="19"/>
        <v>10858.815526379745</v>
      </c>
      <c r="O286" s="1">
        <f t="shared" si="20"/>
        <v>62108.145764923189</v>
      </c>
      <c r="V286" s="1"/>
      <c r="W286" s="1"/>
      <c r="X286" s="1"/>
    </row>
    <row r="287" spans="12:24" x14ac:dyDescent="0.3">
      <c r="L287">
        <v>286</v>
      </c>
      <c r="M287" s="1">
        <f t="shared" si="18"/>
        <v>51868.592978925844</v>
      </c>
      <c r="N287" s="1">
        <f t="shared" si="19"/>
        <v>10239.552785997343</v>
      </c>
      <c r="O287" s="1">
        <f t="shared" si="20"/>
        <v>62108.145764923189</v>
      </c>
      <c r="V287" s="1"/>
      <c r="W287" s="1"/>
      <c r="X287" s="1"/>
    </row>
    <row r="288" spans="12:24" x14ac:dyDescent="0.3">
      <c r="L288">
        <v>287</v>
      </c>
      <c r="M288" s="1">
        <f t="shared" si="18"/>
        <v>52495.338477421195</v>
      </c>
      <c r="N288" s="1">
        <f t="shared" si="19"/>
        <v>9612.8072875019898</v>
      </c>
      <c r="O288" s="1">
        <f t="shared" si="20"/>
        <v>62108.145764923189</v>
      </c>
      <c r="V288" s="1"/>
      <c r="W288" s="1"/>
      <c r="X288" s="1"/>
    </row>
    <row r="289" spans="12:24" x14ac:dyDescent="0.3">
      <c r="L289">
        <v>288</v>
      </c>
      <c r="M289" s="1">
        <f t="shared" si="18"/>
        <v>53129.657150690036</v>
      </c>
      <c r="N289" s="1">
        <f t="shared" si="19"/>
        <v>8978.4886142331488</v>
      </c>
      <c r="O289" s="1">
        <f t="shared" si="20"/>
        <v>62108.145764923189</v>
      </c>
      <c r="V289" s="1"/>
      <c r="W289" s="1"/>
      <c r="X289" s="1"/>
    </row>
    <row r="290" spans="12:24" x14ac:dyDescent="0.3">
      <c r="L290">
        <v>289</v>
      </c>
      <c r="M290" s="1">
        <f t="shared" si="18"/>
        <v>53771.640507927536</v>
      </c>
      <c r="N290" s="1">
        <f t="shared" si="19"/>
        <v>8336.5052569956461</v>
      </c>
      <c r="O290" s="1">
        <f t="shared" si="20"/>
        <v>62108.145764923182</v>
      </c>
      <c r="V290" s="1"/>
      <c r="W290" s="1"/>
      <c r="X290" s="1"/>
    </row>
    <row r="291" spans="12:24" x14ac:dyDescent="0.3">
      <c r="L291">
        <v>290</v>
      </c>
      <c r="M291" s="1">
        <f t="shared" si="18"/>
        <v>54421.381164065002</v>
      </c>
      <c r="N291" s="1">
        <f t="shared" si="19"/>
        <v>7686.7646008581869</v>
      </c>
      <c r="O291" s="1">
        <f t="shared" si="20"/>
        <v>62108.145764923189</v>
      </c>
      <c r="V291" s="1"/>
      <c r="W291" s="1"/>
      <c r="X291" s="1"/>
    </row>
    <row r="292" spans="12:24" x14ac:dyDescent="0.3">
      <c r="L292">
        <v>291</v>
      </c>
      <c r="M292" s="1">
        <f t="shared" si="18"/>
        <v>55078.972853130777</v>
      </c>
      <c r="N292" s="1">
        <f t="shared" si="19"/>
        <v>7029.1729117924015</v>
      </c>
      <c r="O292" s="1">
        <f t="shared" si="20"/>
        <v>62108.145764923182</v>
      </c>
      <c r="V292" s="1"/>
      <c r="W292" s="1"/>
      <c r="X292" s="1"/>
    </row>
    <row r="293" spans="12:24" x14ac:dyDescent="0.3">
      <c r="L293">
        <v>292</v>
      </c>
      <c r="M293" s="1">
        <f t="shared" si="18"/>
        <v>55744.510441772785</v>
      </c>
      <c r="N293" s="1">
        <f t="shared" si="19"/>
        <v>6363.6353231504045</v>
      </c>
      <c r="O293" s="1">
        <f t="shared" si="20"/>
        <v>62108.145764923189</v>
      </c>
      <c r="V293" s="1"/>
      <c r="W293" s="1"/>
      <c r="X293" s="1"/>
    </row>
    <row r="294" spans="12:24" x14ac:dyDescent="0.3">
      <c r="L294">
        <v>293</v>
      </c>
      <c r="M294" s="1">
        <f t="shared" si="18"/>
        <v>56418.089942944192</v>
      </c>
      <c r="N294" s="1">
        <f t="shared" si="19"/>
        <v>5690.0558219789846</v>
      </c>
      <c r="O294" s="1">
        <f t="shared" si="20"/>
        <v>62108.145764923174</v>
      </c>
      <c r="V294" s="1"/>
      <c r="W294" s="1"/>
      <c r="X294" s="1"/>
    </row>
    <row r="295" spans="12:24" x14ac:dyDescent="0.3">
      <c r="L295">
        <v>294</v>
      </c>
      <c r="M295" s="1">
        <f t="shared" si="18"/>
        <v>57099.808529754773</v>
      </c>
      <c r="N295" s="1">
        <f t="shared" si="19"/>
        <v>5008.3372351684084</v>
      </c>
      <c r="O295" s="1">
        <f t="shared" si="20"/>
        <v>62108.145764923182</v>
      </c>
      <c r="V295" s="1"/>
      <c r="W295" s="1"/>
      <c r="X295" s="1"/>
    </row>
    <row r="296" spans="12:24" x14ac:dyDescent="0.3">
      <c r="L296">
        <v>295</v>
      </c>
      <c r="M296" s="1">
        <f t="shared" si="18"/>
        <v>57789.764549489308</v>
      </c>
      <c r="N296" s="1">
        <f t="shared" si="19"/>
        <v>4318.3812154338711</v>
      </c>
      <c r="O296" s="1">
        <f t="shared" si="20"/>
        <v>62108.145764923182</v>
      </c>
      <c r="V296" s="1"/>
      <c r="W296" s="1"/>
      <c r="X296" s="1"/>
    </row>
    <row r="297" spans="12:24" x14ac:dyDescent="0.3">
      <c r="L297">
        <v>296</v>
      </c>
      <c r="M297" s="1">
        <f t="shared" si="18"/>
        <v>58488.057537795641</v>
      </c>
      <c r="N297" s="1">
        <f t="shared" si="19"/>
        <v>3620.0882271275418</v>
      </c>
      <c r="O297" s="1">
        <f t="shared" si="20"/>
        <v>62108.145764923182</v>
      </c>
      <c r="V297" s="1"/>
      <c r="W297" s="1"/>
      <c r="X297" s="1"/>
    </row>
    <row r="298" spans="12:24" x14ac:dyDescent="0.3">
      <c r="L298">
        <v>297</v>
      </c>
      <c r="M298" s="1">
        <f t="shared" si="18"/>
        <v>59194.788233044004</v>
      </c>
      <c r="N298" s="1">
        <f t="shared" si="19"/>
        <v>2913.3575318791782</v>
      </c>
      <c r="O298" s="1">
        <f t="shared" si="20"/>
        <v>62108.145764923182</v>
      </c>
      <c r="V298" s="1"/>
      <c r="W298" s="1"/>
      <c r="X298" s="1"/>
    </row>
    <row r="299" spans="12:24" x14ac:dyDescent="0.3">
      <c r="L299">
        <v>298</v>
      </c>
      <c r="M299" s="1">
        <f t="shared" si="18"/>
        <v>59910.058590859953</v>
      </c>
      <c r="N299" s="1">
        <f t="shared" si="19"/>
        <v>2198.0871740632301</v>
      </c>
      <c r="O299" s="1">
        <f t="shared" si="20"/>
        <v>62108.145764923182</v>
      </c>
      <c r="V299" s="1"/>
      <c r="W299" s="1"/>
      <c r="X299" s="1"/>
    </row>
    <row r="300" spans="12:24" x14ac:dyDescent="0.3">
      <c r="L300">
        <v>299</v>
      </c>
      <c r="M300" s="1">
        <f t="shared" si="18"/>
        <v>60633.971798832841</v>
      </c>
      <c r="N300" s="1">
        <f t="shared" si="19"/>
        <v>1474.1739660903386</v>
      </c>
      <c r="O300" s="1">
        <f t="shared" si="20"/>
        <v>62108.145764923182</v>
      </c>
      <c r="V300" s="1"/>
      <c r="W300" s="1"/>
      <c r="X300" s="1"/>
    </row>
    <row r="301" spans="12:24" x14ac:dyDescent="0.3">
      <c r="L301">
        <v>300</v>
      </c>
      <c r="M301" s="1">
        <f t="shared" si="18"/>
        <v>61366.632291402078</v>
      </c>
      <c r="N301" s="1">
        <f t="shared" si="19"/>
        <v>741.51347352110838</v>
      </c>
      <c r="O301" s="1">
        <f t="shared" si="20"/>
        <v>62108.145764923189</v>
      </c>
      <c r="V301" s="1"/>
      <c r="W301" s="1"/>
      <c r="X301" s="1"/>
    </row>
    <row r="303" spans="12:24" x14ac:dyDescent="0.3">
      <c r="L303" s="11" t="s">
        <v>16</v>
      </c>
      <c r="M303" s="12">
        <f>SUM(M2:M302)</f>
        <v>4999999.9999999972</v>
      </c>
      <c r="N303" s="12">
        <f>SUM(N2:N302)</f>
        <v>13632443.729476962</v>
      </c>
      <c r="O303" s="12">
        <f>SUM(M303:N303)</f>
        <v>18632443.729476959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8537-A7DD-4ED2-8B03-45E3B4646BF5}">
  <dimension ref="A1:R21"/>
  <sheetViews>
    <sheetView tabSelected="1" workbookViewId="0">
      <selection activeCell="Q16" sqref="Q16"/>
    </sheetView>
  </sheetViews>
  <sheetFormatPr defaultRowHeight="14.4" x14ac:dyDescent="0.3"/>
  <cols>
    <col min="17" max="17" width="12.44140625" customWidth="1"/>
    <col min="18" max="18" width="16.109375" customWidth="1"/>
    <col min="19" max="19" width="15.33203125" bestFit="1" customWidth="1"/>
  </cols>
  <sheetData>
    <row r="1" spans="1:18" x14ac:dyDescent="0.3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O1" s="24"/>
      <c r="P1" s="17"/>
      <c r="Q1" s="25" t="s">
        <v>43</v>
      </c>
      <c r="R1" s="26" t="s">
        <v>42</v>
      </c>
    </row>
    <row r="2" spans="1:18" x14ac:dyDescent="0.3">
      <c r="A2" s="2">
        <v>101</v>
      </c>
      <c r="B2" s="2" t="s">
        <v>24</v>
      </c>
      <c r="C2" s="2">
        <v>43</v>
      </c>
      <c r="D2" s="2">
        <v>50</v>
      </c>
      <c r="E2" s="2">
        <v>45</v>
      </c>
      <c r="G2" s="16" t="s">
        <v>29</v>
      </c>
      <c r="H2" s="17" t="str" cm="1">
        <f t="array" ref="H2:L7">UPPER(A1:E6)</f>
        <v>ID</v>
      </c>
      <c r="I2" s="17" t="str">
        <v>NAME</v>
      </c>
      <c r="J2" s="17" t="str">
        <v>MATH</v>
      </c>
      <c r="K2" s="17" t="str">
        <v>SCIENCE</v>
      </c>
      <c r="L2" s="18" t="str">
        <v>ENGLISH</v>
      </c>
      <c r="O2" s="19"/>
      <c r="R2" s="20"/>
    </row>
    <row r="3" spans="1:18" x14ac:dyDescent="0.3">
      <c r="A3" s="2">
        <v>102</v>
      </c>
      <c r="B3" s="2" t="s">
        <v>25</v>
      </c>
      <c r="C3" s="2">
        <v>73</v>
      </c>
      <c r="D3" s="2">
        <v>69</v>
      </c>
      <c r="E3" s="2">
        <v>87</v>
      </c>
      <c r="G3" s="19"/>
      <c r="H3" t="str">
        <v>101</v>
      </c>
      <c r="I3" t="str">
        <v>RAHUL</v>
      </c>
      <c r="J3" t="str">
        <v>43</v>
      </c>
      <c r="K3" t="str">
        <v>50</v>
      </c>
      <c r="L3" s="20" t="str">
        <v>45</v>
      </c>
      <c r="O3" s="19" t="s">
        <v>32</v>
      </c>
      <c r="P3" t="s">
        <v>33</v>
      </c>
      <c r="Q3" t="s">
        <v>34</v>
      </c>
      <c r="R3" s="20" t="str">
        <f>O3&amp;" "&amp;P3&amp;" "&amp;Q3</f>
        <v>ram kumar singh</v>
      </c>
    </row>
    <row r="4" spans="1:18" x14ac:dyDescent="0.3">
      <c r="A4" s="2">
        <v>103</v>
      </c>
      <c r="B4" s="2" t="s">
        <v>26</v>
      </c>
      <c r="C4" s="2">
        <v>65</v>
      </c>
      <c r="D4" s="2">
        <v>72</v>
      </c>
      <c r="E4" s="2">
        <v>46</v>
      </c>
      <c r="G4" s="19"/>
      <c r="H4" t="str">
        <v>102</v>
      </c>
      <c r="I4" t="str">
        <v>RIYA</v>
      </c>
      <c r="J4" t="str">
        <v>73</v>
      </c>
      <c r="K4" t="str">
        <v>69</v>
      </c>
      <c r="L4" s="20" t="str">
        <v>87</v>
      </c>
      <c r="O4" s="19"/>
      <c r="R4" s="20"/>
    </row>
    <row r="5" spans="1:18" x14ac:dyDescent="0.3">
      <c r="A5" s="2">
        <v>104</v>
      </c>
      <c r="B5" s="2" t="s">
        <v>27</v>
      </c>
      <c r="C5" s="2">
        <v>62</v>
      </c>
      <c r="D5" s="2">
        <v>62</v>
      </c>
      <c r="E5" s="2">
        <v>97</v>
      </c>
      <c r="G5" s="19"/>
      <c r="H5" t="str">
        <v>103</v>
      </c>
      <c r="I5" t="str">
        <v>RANI</v>
      </c>
      <c r="J5" t="str">
        <v>65</v>
      </c>
      <c r="K5" t="str">
        <v>72</v>
      </c>
      <c r="L5" s="20" t="str">
        <v>46</v>
      </c>
      <c r="O5" s="19"/>
      <c r="Q5" t="s">
        <v>37</v>
      </c>
      <c r="R5" s="27">
        <f ca="1">TODAY()</f>
        <v>46281</v>
      </c>
    </row>
    <row r="6" spans="1:18" x14ac:dyDescent="0.3">
      <c r="A6" s="2">
        <v>105</v>
      </c>
      <c r="B6" s="2" t="s">
        <v>28</v>
      </c>
      <c r="C6" s="2">
        <v>70</v>
      </c>
      <c r="D6" s="2">
        <v>84</v>
      </c>
      <c r="E6" s="2">
        <v>49</v>
      </c>
      <c r="G6" s="19"/>
      <c r="H6" t="str">
        <v>104</v>
      </c>
      <c r="I6" t="str">
        <v>MINA</v>
      </c>
      <c r="J6" t="str">
        <v>62</v>
      </c>
      <c r="K6" t="str">
        <v>62</v>
      </c>
      <c r="L6" s="20" t="str">
        <v>97</v>
      </c>
      <c r="O6" s="19"/>
      <c r="Q6" t="s">
        <v>36</v>
      </c>
      <c r="R6" s="28">
        <f ca="1">NOW()</f>
        <v>46281.447605671296</v>
      </c>
    </row>
    <row r="7" spans="1:18" x14ac:dyDescent="0.3">
      <c r="G7" s="21"/>
      <c r="H7" s="22" t="str">
        <v>105</v>
      </c>
      <c r="I7" s="22" t="str">
        <v>NAINA</v>
      </c>
      <c r="J7" s="22" t="str">
        <v>70</v>
      </c>
      <c r="K7" s="22" t="str">
        <v>84</v>
      </c>
      <c r="L7" s="23" t="str">
        <v>49</v>
      </c>
      <c r="O7" s="19"/>
      <c r="Q7" t="s">
        <v>35</v>
      </c>
      <c r="R7" s="27">
        <f>DATE(2006,7,30)</f>
        <v>38928</v>
      </c>
    </row>
    <row r="8" spans="1:18" x14ac:dyDescent="0.3">
      <c r="O8" s="19"/>
      <c r="Q8" t="s">
        <v>38</v>
      </c>
      <c r="R8" s="20">
        <f ca="1">DATEDIF(R7,R5,"y")</f>
        <v>20</v>
      </c>
    </row>
    <row r="9" spans="1:18" x14ac:dyDescent="0.3">
      <c r="G9" s="16" t="s">
        <v>30</v>
      </c>
      <c r="H9" s="17" t="str" cm="1">
        <f t="array" ref="H9:L14">LOWER(A1:E6)</f>
        <v>id</v>
      </c>
      <c r="I9" s="17" t="str">
        <v>name</v>
      </c>
      <c r="J9" s="17" t="str">
        <v>math</v>
      </c>
      <c r="K9" s="17" t="str">
        <v>science</v>
      </c>
      <c r="L9" s="18" t="str">
        <v>english</v>
      </c>
      <c r="O9" s="19"/>
      <c r="Q9" t="s">
        <v>39</v>
      </c>
      <c r="R9" s="20" t="str">
        <f>TEXT(R7,"dddd")</f>
        <v>Sunday</v>
      </c>
    </row>
    <row r="10" spans="1:18" x14ac:dyDescent="0.3">
      <c r="G10" s="19"/>
      <c r="H10" t="str">
        <v>101</v>
      </c>
      <c r="I10" t="str">
        <v>rahul</v>
      </c>
      <c r="J10" t="str">
        <v>43</v>
      </c>
      <c r="K10" t="str">
        <v>50</v>
      </c>
      <c r="L10" s="20" t="str">
        <v>45</v>
      </c>
      <c r="O10" s="19"/>
      <c r="Q10" t="s">
        <v>40</v>
      </c>
      <c r="R10" s="20">
        <f ca="1">DATEDIF(R7,R5,"m")</f>
        <v>241</v>
      </c>
    </row>
    <row r="11" spans="1:18" x14ac:dyDescent="0.3">
      <c r="G11" s="19"/>
      <c r="H11" t="str">
        <v>102</v>
      </c>
      <c r="I11" t="str">
        <v>riya</v>
      </c>
      <c r="J11" t="str">
        <v>73</v>
      </c>
      <c r="K11" t="str">
        <v>69</v>
      </c>
      <c r="L11" s="20" t="str">
        <v>87</v>
      </c>
      <c r="O11" s="21"/>
      <c r="P11" s="22"/>
      <c r="Q11" s="22" t="s">
        <v>41</v>
      </c>
      <c r="R11" s="23">
        <f ca="1">DATEDIF(R7,R5,"d")</f>
        <v>7353</v>
      </c>
    </row>
    <row r="12" spans="1:18" x14ac:dyDescent="0.3">
      <c r="G12" s="19"/>
      <c r="H12" t="str">
        <v>103</v>
      </c>
      <c r="I12" t="str">
        <v>rani</v>
      </c>
      <c r="J12" t="str">
        <v>65</v>
      </c>
      <c r="K12" t="str">
        <v>72</v>
      </c>
      <c r="L12" s="20" t="str">
        <v>46</v>
      </c>
    </row>
    <row r="13" spans="1:18" x14ac:dyDescent="0.3">
      <c r="G13" s="19"/>
      <c r="H13" t="str">
        <v>104</v>
      </c>
      <c r="I13" t="str">
        <v>mina</v>
      </c>
      <c r="J13" t="str">
        <v>62</v>
      </c>
      <c r="K13" t="str">
        <v>62</v>
      </c>
      <c r="L13" s="20" t="str">
        <v>97</v>
      </c>
    </row>
    <row r="14" spans="1:18" x14ac:dyDescent="0.3">
      <c r="G14" s="21"/>
      <c r="H14" s="22" t="str">
        <v>105</v>
      </c>
      <c r="I14" s="22" t="str">
        <v>naina</v>
      </c>
      <c r="J14" s="22" t="str">
        <v>70</v>
      </c>
      <c r="K14" s="22" t="str">
        <v>84</v>
      </c>
      <c r="L14" s="23" t="str">
        <v>49</v>
      </c>
    </row>
    <row r="16" spans="1:18" x14ac:dyDescent="0.3">
      <c r="G16" s="16" t="s">
        <v>31</v>
      </c>
      <c r="H16" s="17" t="str" cm="1">
        <f t="array" ref="H16:L21">PROPER(A1:E6)</f>
        <v>Id</v>
      </c>
      <c r="I16" s="17" t="str">
        <v>Name</v>
      </c>
      <c r="J16" s="17" t="str">
        <v>Math</v>
      </c>
      <c r="K16" s="17" t="str">
        <v>Science</v>
      </c>
      <c r="L16" s="18" t="str">
        <v>English</v>
      </c>
    </row>
    <row r="17" spans="7:12" x14ac:dyDescent="0.3">
      <c r="G17" s="19"/>
      <c r="H17" t="str">
        <v>101</v>
      </c>
      <c r="I17" t="str">
        <v>Rahul</v>
      </c>
      <c r="J17" t="str">
        <v>43</v>
      </c>
      <c r="K17" t="str">
        <v>50</v>
      </c>
      <c r="L17" s="20" t="str">
        <v>45</v>
      </c>
    </row>
    <row r="18" spans="7:12" x14ac:dyDescent="0.3">
      <c r="G18" s="19"/>
      <c r="H18" t="str">
        <v>102</v>
      </c>
      <c r="I18" t="str">
        <v>Riya</v>
      </c>
      <c r="J18" t="str">
        <v>73</v>
      </c>
      <c r="K18" t="str">
        <v>69</v>
      </c>
      <c r="L18" s="20" t="str">
        <v>87</v>
      </c>
    </row>
    <row r="19" spans="7:12" x14ac:dyDescent="0.3">
      <c r="G19" s="19"/>
      <c r="H19" t="str">
        <v>103</v>
      </c>
      <c r="I19" t="str">
        <v>Rani</v>
      </c>
      <c r="J19" t="str">
        <v>65</v>
      </c>
      <c r="K19" t="str">
        <v>72</v>
      </c>
      <c r="L19" s="20" t="str">
        <v>46</v>
      </c>
    </row>
    <row r="20" spans="7:12" x14ac:dyDescent="0.3">
      <c r="G20" s="19"/>
      <c r="H20" t="str">
        <v>104</v>
      </c>
      <c r="I20" t="str">
        <v>Mina</v>
      </c>
      <c r="J20" t="str">
        <v>62</v>
      </c>
      <c r="K20" t="str">
        <v>62</v>
      </c>
      <c r="L20" s="20" t="str">
        <v>97</v>
      </c>
    </row>
    <row r="21" spans="7:12" x14ac:dyDescent="0.3">
      <c r="G21" s="21"/>
      <c r="H21" s="22" t="str">
        <v>105</v>
      </c>
      <c r="I21" s="22" t="str">
        <v>Naina</v>
      </c>
      <c r="J21" s="22" t="str">
        <v>70</v>
      </c>
      <c r="K21" s="22" t="str">
        <v>84</v>
      </c>
      <c r="L21" s="23" t="str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</vt:lpstr>
      <vt:lpstr>PPMT,IPMT</vt:lpstr>
      <vt:lpstr>upper,lower,proper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2026-08-17T06:49:18Z</dcterms:created>
  <dcterms:modified xsi:type="dcterms:W3CDTF">2026-09-16T05:14:35Z</dcterms:modified>
</cp:coreProperties>
</file>