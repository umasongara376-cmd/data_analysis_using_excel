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6f87736217be48/Documents/"/>
    </mc:Choice>
  </mc:AlternateContent>
  <xr:revisionPtr revIDLastSave="210" documentId="8_{18448A57-F014-49B5-8ED7-264D3255F426}" xr6:coauthVersionLast="47" xr6:coauthVersionMax="47" xr10:uidLastSave="{3CEC9095-E70E-49C4-9B32-3E69E7AFAA6B}"/>
  <bookViews>
    <workbookView minimized="1" xWindow="4284" yWindow="3360" windowWidth="17280" windowHeight="8880" activeTab="1" xr2:uid="{00000000-000D-0000-FFFF-FFFF00000000}"/>
  </bookViews>
  <sheets>
    <sheet name="hosp.file" sheetId="1" r:id="rId1"/>
    <sheet name="Sheet1" sheetId="3" r:id="rId2"/>
    <sheet name="month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3" l="1" a="1"/>
  <c r="L13" i="3" s="1"/>
  <c r="L14" i="3" a="1"/>
  <c r="L14" i="3" s="1"/>
  <c r="L12" i="3" a="1"/>
  <c r="L12" i="3" s="1"/>
  <c r="L10" i="3" a="1"/>
  <c r="L10" i="3" s="1"/>
  <c r="L11" i="3" a="1"/>
  <c r="L11" i="3" s="1"/>
  <c r="L3" i="3"/>
  <c r="L8" i="3"/>
  <c r="L9" i="3" a="1"/>
  <c r="L9" i="3" s="1"/>
  <c r="L7" i="3" a="1"/>
  <c r="L7" i="3" s="1"/>
  <c r="L6" i="3" a="1"/>
  <c r="L6" i="3" s="1"/>
  <c r="L5" i="3"/>
  <c r="L4" i="3"/>
  <c r="M5" i="3"/>
  <c r="N5" i="3"/>
  <c r="O5" i="3"/>
  <c r="P5" i="3"/>
  <c r="M4" i="3"/>
  <c r="N4" i="3"/>
  <c r="O4" i="3"/>
  <c r="P4" i="3"/>
  <c r="L2" i="3"/>
  <c r="L7" i="2" a="1"/>
  <c r="L7" i="2" s="1"/>
  <c r="L6" i="2" a="1"/>
  <c r="L6" i="2" s="1"/>
  <c r="K5" i="2"/>
  <c r="L5" i="2"/>
  <c r="M5" i="2"/>
  <c r="N5" i="2"/>
  <c r="O5" i="2"/>
  <c r="P5" i="2"/>
  <c r="Q5" i="2"/>
  <c r="L4" i="2" a="1"/>
  <c r="L4" i="2" s="1"/>
  <c r="L2" i="2" a="1"/>
  <c r="L2" i="2" s="1"/>
  <c r="J12" i="1" a="1"/>
  <c r="J12" i="1" s="1"/>
  <c r="J11" i="1" a="1"/>
  <c r="J11" i="1" s="1"/>
  <c r="J9" i="1"/>
  <c r="K9" i="1"/>
  <c r="L9" i="1"/>
  <c r="M9" i="1"/>
  <c r="N9" i="1"/>
  <c r="O9" i="1"/>
  <c r="J8" i="1"/>
  <c r="K8" i="1"/>
  <c r="L8" i="1"/>
  <c r="M8" i="1"/>
  <c r="N8" i="1"/>
  <c r="O8" i="1"/>
  <c r="L6" i="1"/>
  <c r="K5" i="1" a="1"/>
  <c r="K5" i="1" s="1"/>
  <c r="K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<sst xmlns="http://schemas.openxmlformats.org/spreadsheetml/2006/main" count="166" uniqueCount="62">
  <si>
    <t>Hospital Department</t>
  </si>
  <si>
    <t>EMP ID</t>
  </si>
  <si>
    <t>Doctor Name</t>
  </si>
  <si>
    <t>Department</t>
  </si>
  <si>
    <t>Age</t>
  </si>
  <si>
    <t>Gender</t>
  </si>
  <si>
    <t xml:space="preserve">Salary </t>
  </si>
  <si>
    <t>Mobile No</t>
  </si>
  <si>
    <t>EMP101</t>
  </si>
  <si>
    <t>Amit</t>
  </si>
  <si>
    <t>Cardiology</t>
  </si>
  <si>
    <t>Male</t>
  </si>
  <si>
    <t>EMP102</t>
  </si>
  <si>
    <t>Neha</t>
  </si>
  <si>
    <t>Neurology</t>
  </si>
  <si>
    <t>Female</t>
  </si>
  <si>
    <t>EMP103</t>
  </si>
  <si>
    <t>Raj</t>
  </si>
  <si>
    <t>Orthopedics</t>
  </si>
  <si>
    <t>EMP104</t>
  </si>
  <si>
    <t>Pooja</t>
  </si>
  <si>
    <t>EMP105</t>
  </si>
  <si>
    <t>Pediatrics</t>
  </si>
  <si>
    <t>EMP106</t>
  </si>
  <si>
    <t>Anjali</t>
  </si>
  <si>
    <t>EMP107</t>
  </si>
  <si>
    <t>Vikram</t>
  </si>
  <si>
    <t>Dermatology</t>
  </si>
  <si>
    <t>EMP108</t>
  </si>
  <si>
    <t>Rahul</t>
  </si>
  <si>
    <t>EMP109</t>
  </si>
  <si>
    <t>Gynecology</t>
  </si>
  <si>
    <t>EMP110</t>
  </si>
  <si>
    <t>Poonam</t>
  </si>
  <si>
    <t>salary</t>
  </si>
  <si>
    <t>vlookup{}</t>
  </si>
  <si>
    <t>vikram</t>
  </si>
  <si>
    <t>vlookup+match</t>
  </si>
  <si>
    <t>jan</t>
  </si>
  <si>
    <t>feb</t>
  </si>
  <si>
    <t>mar</t>
  </si>
  <si>
    <t>apr</t>
  </si>
  <si>
    <t>may</t>
  </si>
  <si>
    <t>Name</t>
  </si>
  <si>
    <t>june</t>
  </si>
  <si>
    <t>Ram</t>
  </si>
  <si>
    <t>sum</t>
  </si>
  <si>
    <t>max</t>
  </si>
  <si>
    <t>min</t>
  </si>
  <si>
    <t>AVG</t>
  </si>
  <si>
    <t>Salary</t>
  </si>
  <si>
    <t>age</t>
  </si>
  <si>
    <t>VL/COM</t>
  </si>
  <si>
    <t>vl/COMS</t>
  </si>
  <si>
    <t xml:space="preserve">age </t>
  </si>
  <si>
    <t>hlookup</t>
  </si>
  <si>
    <t>Bonus</t>
  </si>
  <si>
    <t>sum/vl</t>
  </si>
  <si>
    <t>MIN/VL</t>
  </si>
  <si>
    <t>MAX/VL</t>
  </si>
  <si>
    <t>EMP 104</t>
  </si>
  <si>
    <t>AVG/VL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</si>
</sst>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Bahnschrift Light"/>
      <family val="2"/>
    </font>
    <font>
      <sz val="11"/>
      <color theme="1"/>
      <name val="Bahnschrift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zoomScale="97" workbookViewId="0">
      <selection activeCell="D18" sqref="D18"/>
    </sheetView>
  </sheetViews>
  <sheetFormatPr defaultColWidth="8.88671875" defaultRowHeight="14.4"/>
  <cols>
    <col min="1" max="1" width="9.6640625" customWidth="1"/>
    <col min="2" max="2" width="12.33203125" customWidth="1"/>
    <col min="3" max="3" width="13.77734375" customWidth="1"/>
    <col min="4" max="4" width="5.33203125" customWidth="1"/>
    <col min="5" max="5" width="8.109375" customWidth="1"/>
    <col min="6" max="6" width="7.6640625" customWidth="1"/>
    <col min="7" max="7" width="12.5546875" customWidth="1"/>
    <col min="10" max="10" width="15.33203125" customWidth="1"/>
    <col min="12" max="12" width="9" bestFit="1" customWidth="1"/>
    <col min="14" max="14" width="9" bestFit="1" customWidth="1"/>
    <col min="15" max="15" width="15.44140625" customWidth="1"/>
  </cols>
  <sheetData>
    <row r="1" spans="1:15">
      <c r="A1" s="1"/>
      <c r="C1" s="2" t="s">
        <v>0</v>
      </c>
    </row>
    <row r="3" spans="1:15" ht="28.8">
      <c r="A3" s="3" t="s">
        <v>2</v>
      </c>
      <c r="B3" s="3" t="s">
        <v>3</v>
      </c>
      <c r="C3" s="3" t="s">
        <v>1</v>
      </c>
      <c r="D3" s="3" t="s">
        <v>4</v>
      </c>
      <c r="E3" s="3" t="s">
        <v>5</v>
      </c>
      <c r="F3" s="3" t="s">
        <v>6</v>
      </c>
      <c r="G3" s="3" t="s">
        <v>7</v>
      </c>
    </row>
    <row r="4" spans="1:15" ht="21.6" customHeight="1">
      <c r="A4" s="4" t="s">
        <v>9</v>
      </c>
      <c r="B4" s="4" t="s">
        <v>10</v>
      </c>
      <c r="C4" s="4" t="s">
        <v>8</v>
      </c>
      <c r="D4" s="4">
        <v>45</v>
      </c>
      <c r="E4" s="4" t="s">
        <v>11</v>
      </c>
      <c r="F4" s="4">
        <v>120000</v>
      </c>
      <c r="G4" s="4">
        <v>9876543210</v>
      </c>
      <c r="I4" s="5" t="s">
        <v>19</v>
      </c>
      <c r="J4" s="5" t="s">
        <v>34</v>
      </c>
      <c r="K4" s="6" t="e">
        <f>VLOOKUP(I4,A3:G13,6,0)</f>
        <v>#N/A</v>
      </c>
      <c r="L4" s="6"/>
      <c r="M4" s="6"/>
      <c r="N4" s="6"/>
      <c r="O4" s="6"/>
    </row>
    <row r="5" spans="1:15" ht="26.4" customHeight="1">
      <c r="A5" s="4" t="s">
        <v>13</v>
      </c>
      <c r="B5" s="4" t="s">
        <v>14</v>
      </c>
      <c r="C5" s="4" t="s">
        <v>12</v>
      </c>
      <c r="D5" s="4">
        <v>38</v>
      </c>
      <c r="E5" s="4" t="s">
        <v>15</v>
      </c>
      <c r="F5" s="4">
        <v>110000</v>
      </c>
      <c r="G5" s="4">
        <v>9876543211</v>
      </c>
      <c r="I5" s="5" t="s">
        <v>24</v>
      </c>
      <c r="J5" s="5" t="s">
        <v>35</v>
      </c>
      <c r="K5" s="6" t="str" cm="1">
        <f t="array" ref="K5:O5">VLOOKUP(I5,A3:G13,{2,3,4,5,6},0)</f>
        <v>Neurology</v>
      </c>
      <c r="L5" s="6" t="str">
        <v>EMP106</v>
      </c>
      <c r="M5" s="6">
        <v>38</v>
      </c>
      <c r="N5" s="6" t="str">
        <v>Female</v>
      </c>
      <c r="O5" s="6">
        <v>110000</v>
      </c>
    </row>
    <row r="6" spans="1:15" ht="26.4" customHeight="1">
      <c r="A6" s="4" t="s">
        <v>17</v>
      </c>
      <c r="B6" s="4" t="s">
        <v>18</v>
      </c>
      <c r="C6" s="4" t="s">
        <v>16</v>
      </c>
      <c r="D6" s="4">
        <v>50</v>
      </c>
      <c r="E6" s="4" t="s">
        <v>11</v>
      </c>
      <c r="F6" s="4">
        <v>130000</v>
      </c>
      <c r="G6" s="4">
        <v>9876543212</v>
      </c>
      <c r="I6" s="5" t="s">
        <v>36</v>
      </c>
      <c r="J6" s="5" t="s">
        <v>37</v>
      </c>
      <c r="K6" s="5" t="s">
        <v>4</v>
      </c>
      <c r="L6" s="6">
        <f>VLOOKUP(I6,A3:G13,MATCH(K6,A3:G3,0),0)</f>
        <v>42</v>
      </c>
      <c r="M6" s="6"/>
      <c r="N6" s="6"/>
      <c r="O6" s="6"/>
    </row>
    <row r="7" spans="1:15">
      <c r="A7" s="4" t="s">
        <v>20</v>
      </c>
      <c r="B7" s="4" t="s">
        <v>10</v>
      </c>
      <c r="C7" s="4" t="s">
        <v>19</v>
      </c>
      <c r="D7" s="4">
        <v>45</v>
      </c>
      <c r="E7" s="4" t="s">
        <v>15</v>
      </c>
      <c r="F7" s="4">
        <v>120000</v>
      </c>
      <c r="G7" s="4">
        <v>9876543213</v>
      </c>
      <c r="I7" s="6"/>
      <c r="J7" s="6"/>
      <c r="K7" s="6"/>
      <c r="L7" s="6"/>
      <c r="M7" s="6"/>
      <c r="N7" s="6"/>
      <c r="O7" s="6"/>
    </row>
    <row r="8" spans="1:15" ht="26.4" customHeight="1">
      <c r="A8" s="4" t="s">
        <v>9</v>
      </c>
      <c r="B8" s="4" t="s">
        <v>22</v>
      </c>
      <c r="C8" s="4" t="s">
        <v>21</v>
      </c>
      <c r="D8" s="4">
        <v>35</v>
      </c>
      <c r="E8" s="4" t="s">
        <v>11</v>
      </c>
      <c r="F8" s="4">
        <v>95000</v>
      </c>
      <c r="G8" s="4">
        <v>9876543214</v>
      </c>
      <c r="I8" s="5" t="s">
        <v>23</v>
      </c>
      <c r="J8" s="6" t="e">
        <f>VLOOKUP($I$8,$A$3:$G$13,COLUMNS($A$3:A3),0)</f>
        <v>#N/A</v>
      </c>
      <c r="K8" s="6" t="e">
        <f>VLOOKUP($I$8,$A$3:$G$13,COLUMNS($A$3:B3),0)</f>
        <v>#N/A</v>
      </c>
      <c r="L8" s="6" t="e">
        <f>VLOOKUP($I$8,$A$3:$G$13,COLUMNS($A$3:D3),0)</f>
        <v>#N/A</v>
      </c>
      <c r="M8" s="6" t="e">
        <f>VLOOKUP($I$8,$A$3:$G$13,COLUMNS($A$3:E3),0)</f>
        <v>#N/A</v>
      </c>
      <c r="N8" s="6" t="e">
        <f>VLOOKUP($I$8,$A$3:$G$13,COLUMNS($A$3:F3),0)</f>
        <v>#N/A</v>
      </c>
      <c r="O8" s="6" t="e">
        <f>VLOOKUP($I$8,$A$3:$G$13,COLUMNS($A$3:G3),0)</f>
        <v>#N/A</v>
      </c>
    </row>
    <row r="9" spans="1:15" ht="21" customHeight="1">
      <c r="A9" s="4" t="s">
        <v>24</v>
      </c>
      <c r="B9" s="4" t="s">
        <v>14</v>
      </c>
      <c r="C9" s="4" t="s">
        <v>23</v>
      </c>
      <c r="D9" s="4">
        <v>38</v>
      </c>
      <c r="E9" s="4" t="s">
        <v>15</v>
      </c>
      <c r="F9" s="4">
        <v>110000</v>
      </c>
      <c r="G9" s="4">
        <v>9876543215</v>
      </c>
      <c r="I9" s="7" t="s">
        <v>25</v>
      </c>
      <c r="J9" s="6" t="e">
        <f>VLOOKUP($I$9,$A$3:$G$13,COLUMNS($A$3:A3),0)</f>
        <v>#N/A</v>
      </c>
      <c r="K9" s="6" t="e">
        <f>VLOOKUP($I$9,$A$3:$G$13,COLUMNS($A$3:B3),0)</f>
        <v>#N/A</v>
      </c>
      <c r="L9" s="6" t="e">
        <f>VLOOKUP($I$9,$A$3:$G$13,COLUMNS($A$3:D3),0)</f>
        <v>#N/A</v>
      </c>
      <c r="M9" s="6" t="e">
        <f>VLOOKUP($I$9,$A$3:$G$13,COLUMNS($A$3:E3),0)</f>
        <v>#N/A</v>
      </c>
      <c r="N9" s="6" t="e">
        <f>VLOOKUP($I$9,$A$3:$G$13,COLUMNS($A$3:F3),0)</f>
        <v>#N/A</v>
      </c>
      <c r="O9" s="6" t="e">
        <f>VLOOKUP($I$9,$A$3:$G$13,COLUMNS($A$3:G3),0)</f>
        <v>#N/A</v>
      </c>
    </row>
    <row r="10" spans="1:15">
      <c r="A10" s="4" t="s">
        <v>26</v>
      </c>
      <c r="B10" s="4" t="s">
        <v>27</v>
      </c>
      <c r="C10" s="4" t="s">
        <v>25</v>
      </c>
      <c r="D10" s="4">
        <v>42</v>
      </c>
      <c r="E10" s="4" t="s">
        <v>11</v>
      </c>
      <c r="F10" s="4">
        <v>105000</v>
      </c>
      <c r="G10" s="4">
        <v>9876543216</v>
      </c>
    </row>
    <row r="11" spans="1:15">
      <c r="A11" s="4" t="s">
        <v>29</v>
      </c>
      <c r="B11" s="4" t="s">
        <v>18</v>
      </c>
      <c r="C11" s="4" t="s">
        <v>28</v>
      </c>
      <c r="D11" s="4">
        <v>50</v>
      </c>
      <c r="E11" s="4" t="s">
        <v>11</v>
      </c>
      <c r="F11" s="4">
        <v>130000</v>
      </c>
      <c r="G11" s="4">
        <v>9876543217</v>
      </c>
      <c r="I11" s="8" t="s">
        <v>26</v>
      </c>
      <c r="J11" t="str" cm="1">
        <f t="array" ref="J11:L11">VLOOKUP(I11,CHOOSE({1,2,3,4},A3:A13,C3:C13,B3:B13,F3:F13),{2,3,4},0)</f>
        <v>EMP107</v>
      </c>
      <c r="K11" t="str">
        <v>Dermatology</v>
      </c>
      <c r="L11">
        <v>105000</v>
      </c>
    </row>
    <row r="12" spans="1:15">
      <c r="A12" s="4" t="s">
        <v>24</v>
      </c>
      <c r="B12" s="4" t="s">
        <v>31</v>
      </c>
      <c r="C12" s="4" t="s">
        <v>30</v>
      </c>
      <c r="D12" s="4">
        <v>37</v>
      </c>
      <c r="E12" s="4" t="s">
        <v>15</v>
      </c>
      <c r="F12" s="4">
        <v>100000</v>
      </c>
      <c r="G12" s="4">
        <v>9876543218</v>
      </c>
      <c r="I12" s="8" t="s">
        <v>28</v>
      </c>
      <c r="J12" t="str" cm="1">
        <f t="array" ref="J12:O12">VLOOKUP(I12,CHOOSE({1,2,3,4,5,6,7},C3:C13,B3:B13,A3:A13,D3:D13,E3:E13,F3:F13,G3:G13),{2,3,4,5,6,7},0)</f>
        <v>Orthopedics</v>
      </c>
      <c r="K12" t="str">
        <v>Rahul</v>
      </c>
      <c r="L12">
        <v>50</v>
      </c>
      <c r="M12" t="str">
        <v>Male</v>
      </c>
      <c r="N12">
        <v>130000</v>
      </c>
      <c r="O12">
        <v>9876543217</v>
      </c>
    </row>
    <row r="13" spans="1:15">
      <c r="A13" s="4" t="s">
        <v>33</v>
      </c>
      <c r="B13" s="4" t="s">
        <v>22</v>
      </c>
      <c r="C13" s="4" t="s">
        <v>32</v>
      </c>
      <c r="D13" s="4">
        <v>35</v>
      </c>
      <c r="E13" s="4" t="s">
        <v>15</v>
      </c>
      <c r="F13" s="4">
        <v>95000</v>
      </c>
      <c r="G13" s="4">
        <v>9876543219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E90C-959B-4888-A080-67F2FEAB1EC9}">
  <dimension ref="A1:P14"/>
  <sheetViews>
    <sheetView tabSelected="1" workbookViewId="0">
      <selection activeCell="L14" sqref="L14"/>
    </sheetView>
  </sheetViews>
  <sheetFormatPr defaultRowHeight="14.4"/>
  <cols>
    <col min="1" max="1" width="7.77734375" bestFit="1" customWidth="1"/>
    <col min="3" max="3" width="7.6640625" bestFit="1" customWidth="1"/>
    <col min="4" max="4" width="4.21875" bestFit="1" customWidth="1"/>
    <col min="5" max="5" width="7.109375" bestFit="1" customWidth="1"/>
    <col min="6" max="6" width="7" bestFit="1" customWidth="1"/>
    <col min="7" max="7" width="11" bestFit="1" customWidth="1"/>
  </cols>
  <sheetData>
    <row r="1" spans="1:16" ht="28.8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56</v>
      </c>
    </row>
    <row r="2" spans="1:16" ht="28.8">
      <c r="A2" s="4" t="s">
        <v>8</v>
      </c>
      <c r="B2" s="4" t="s">
        <v>9</v>
      </c>
      <c r="C2" s="4" t="s">
        <v>10</v>
      </c>
      <c r="D2" s="4">
        <v>45</v>
      </c>
      <c r="E2" s="4" t="s">
        <v>11</v>
      </c>
      <c r="F2" s="4">
        <v>120000</v>
      </c>
      <c r="G2" s="4">
        <v>9876543210</v>
      </c>
      <c r="H2" s="12">
        <v>5923</v>
      </c>
      <c r="J2" t="s">
        <v>20</v>
      </c>
      <c r="K2" t="s">
        <v>50</v>
      </c>
      <c r="L2">
        <f>VLOOKUP(J2,B1:G11,5,0)</f>
        <v>120000</v>
      </c>
    </row>
    <row r="3" spans="1:16" ht="28.8">
      <c r="A3" s="4" t="s">
        <v>12</v>
      </c>
      <c r="B3" s="4" t="s">
        <v>13</v>
      </c>
      <c r="C3" s="4" t="s">
        <v>14</v>
      </c>
      <c r="D3" s="4">
        <v>38</v>
      </c>
      <c r="E3" s="4" t="s">
        <v>15</v>
      </c>
      <c r="F3" s="4">
        <v>110000</v>
      </c>
      <c r="G3" s="4">
        <v>9876543211</v>
      </c>
      <c r="H3" s="12">
        <v>8721</v>
      </c>
      <c r="J3" t="s">
        <v>23</v>
      </c>
      <c r="K3" t="s">
        <v>51</v>
      </c>
      <c r="L3">
        <f>VLOOKUP(J3,A1:G11,MATCH(K3,A1:G1,0),0)</f>
        <v>38</v>
      </c>
    </row>
    <row r="4" spans="1:16" ht="28.8">
      <c r="A4" s="4" t="s">
        <v>16</v>
      </c>
      <c r="B4" s="4" t="s">
        <v>45</v>
      </c>
      <c r="C4" s="4" t="s">
        <v>18</v>
      </c>
      <c r="D4" s="4">
        <v>50</v>
      </c>
      <c r="E4" s="4" t="s">
        <v>11</v>
      </c>
      <c r="F4" s="4">
        <v>130000</v>
      </c>
      <c r="G4" s="4">
        <v>9876543212</v>
      </c>
      <c r="H4" s="12">
        <v>7722</v>
      </c>
      <c r="J4" t="s">
        <v>26</v>
      </c>
      <c r="K4" t="s">
        <v>53</v>
      </c>
      <c r="L4" t="str">
        <f>VLOOKUP($J$4,$B$1:$G$11,COLUMNS($B$1:C1),0)</f>
        <v>Dermatology</v>
      </c>
      <c r="M4">
        <f>VLOOKUP($J$4,$B$1:$G$11,COLUMNS($B$1:D1),0)</f>
        <v>42</v>
      </c>
      <c r="N4" t="str">
        <f>VLOOKUP($J$4,$B$1:$G$11,COLUMNS($B$1:E1),0)</f>
        <v>Male</v>
      </c>
      <c r="O4">
        <f>VLOOKUP($J$4,$B$1:$G$11,COLUMNS($B$1:F1),0)</f>
        <v>105000</v>
      </c>
      <c r="P4">
        <f>VLOOKUP($J$4,$B$1:$G$11,COLUMNS($B$1:G1),0)</f>
        <v>9876543216</v>
      </c>
    </row>
    <row r="5" spans="1:16" ht="28.8">
      <c r="A5" s="4" t="s">
        <v>19</v>
      </c>
      <c r="B5" s="4" t="s">
        <v>20</v>
      </c>
      <c r="C5" s="4" t="s">
        <v>10</v>
      </c>
      <c r="D5" s="4">
        <v>45</v>
      </c>
      <c r="E5" s="4" t="s">
        <v>15</v>
      </c>
      <c r="F5" s="4">
        <v>120000</v>
      </c>
      <c r="G5" s="4">
        <v>9876543213</v>
      </c>
      <c r="H5" s="12">
        <v>5991</v>
      </c>
      <c r="J5" t="s">
        <v>16</v>
      </c>
      <c r="K5" t="s">
        <v>52</v>
      </c>
      <c r="L5" t="str">
        <f>VLOOKUP($J$5,$A$1:$G$11,COLUMN(B1),0)</f>
        <v>Ram</v>
      </c>
      <c r="M5" t="str">
        <f>VLOOKUP($J$5,$A$1:$G$11,COLUMN(C1),0)</f>
        <v>Orthopedics</v>
      </c>
      <c r="N5">
        <f>VLOOKUP($J$5,$A$1:$G$11,COLUMN(D1),0)</f>
        <v>50</v>
      </c>
      <c r="O5" t="str">
        <f>VLOOKUP($J$5,$A$1:$G$11,COLUMN(E1),0)</f>
        <v>Male</v>
      </c>
      <c r="P5">
        <f>VLOOKUP($J$5,$A$1:$G$11,COLUMN(F1),0)</f>
        <v>130000</v>
      </c>
    </row>
    <row r="6" spans="1:16" ht="28.8">
      <c r="A6" s="4" t="s">
        <v>21</v>
      </c>
      <c r="B6" s="4" t="s">
        <v>9</v>
      </c>
      <c r="C6" s="4" t="s">
        <v>22</v>
      </c>
      <c r="D6" s="4">
        <v>35</v>
      </c>
      <c r="E6" s="4" t="s">
        <v>11</v>
      </c>
      <c r="F6" s="4">
        <v>95000</v>
      </c>
      <c r="G6" s="4">
        <v>9876543214</v>
      </c>
      <c r="H6" s="12">
        <v>6872</v>
      </c>
      <c r="J6" t="s">
        <v>13</v>
      </c>
      <c r="L6" cm="1">
        <f t="array" ref="L6:N6">VLOOKUP(J6,B1:G11,{3,5,6},0)</f>
        <v>38</v>
      </c>
      <c r="M6">
        <v>110000</v>
      </c>
      <c r="N6">
        <v>9876543211</v>
      </c>
    </row>
    <row r="7" spans="1:16" ht="28.8">
      <c r="A7" s="4" t="s">
        <v>23</v>
      </c>
      <c r="B7" s="4" t="s">
        <v>24</v>
      </c>
      <c r="C7" s="4" t="s">
        <v>14</v>
      </c>
      <c r="D7" s="4">
        <v>38</v>
      </c>
      <c r="E7" s="4" t="s">
        <v>15</v>
      </c>
      <c r="F7" s="4">
        <v>110000</v>
      </c>
      <c r="G7" s="4">
        <v>9876543215</v>
      </c>
      <c r="H7" s="12">
        <v>8417</v>
      </c>
      <c r="J7" t="s">
        <v>54</v>
      </c>
      <c r="K7">
        <v>42</v>
      </c>
      <c r="L7" t="str" cm="1">
        <f t="array" ref="L7:N7">VLOOKUP(K7,CHOOSE({1,2,3,4},D1:D11,B1:B11,A1:A11,F1:F11),{2,3,4},0)</f>
        <v>Vikram</v>
      </c>
      <c r="M7" t="str">
        <v>EMP107</v>
      </c>
      <c r="N7">
        <v>105000</v>
      </c>
    </row>
    <row r="8" spans="1:16" ht="28.8">
      <c r="A8" s="4" t="s">
        <v>25</v>
      </c>
      <c r="B8" s="4" t="s">
        <v>26</v>
      </c>
      <c r="C8" s="4" t="s">
        <v>27</v>
      </c>
      <c r="D8" s="4">
        <v>42</v>
      </c>
      <c r="E8" s="4" t="s">
        <v>11</v>
      </c>
      <c r="F8" s="4">
        <v>105000</v>
      </c>
      <c r="G8" s="4">
        <v>9876543216</v>
      </c>
      <c r="H8" s="12">
        <v>5427</v>
      </c>
      <c r="J8" t="s">
        <v>20</v>
      </c>
      <c r="K8" t="s">
        <v>55</v>
      </c>
      <c r="L8">
        <f>HLOOKUP(F1,B1:G11,5,0)</f>
        <v>120000</v>
      </c>
    </row>
    <row r="9" spans="1:16" ht="28.8">
      <c r="A9" s="4" t="s">
        <v>28</v>
      </c>
      <c r="B9" s="4" t="s">
        <v>29</v>
      </c>
      <c r="C9" s="4" t="s">
        <v>18</v>
      </c>
      <c r="D9" s="4">
        <v>50</v>
      </c>
      <c r="E9" s="4" t="s">
        <v>11</v>
      </c>
      <c r="F9" s="4">
        <v>130000</v>
      </c>
      <c r="G9" s="4">
        <v>9876543217</v>
      </c>
      <c r="H9" s="12">
        <v>6140</v>
      </c>
      <c r="J9" t="s">
        <v>21</v>
      </c>
      <c r="K9" t="s">
        <v>55</v>
      </c>
      <c r="L9" t="str" cm="1">
        <f t="array" ref="L9:N9">HLOOKUP(B1,A1:G11,{2,3,4},0)</f>
        <v>Amit</v>
      </c>
      <c r="M9" t="str">
        <v>Neha</v>
      </c>
      <c r="N9" t="str">
        <v>Ram</v>
      </c>
    </row>
    <row r="10" spans="1:16" ht="28.8">
      <c r="A10" s="4" t="s">
        <v>30</v>
      </c>
      <c r="B10" s="4" t="s">
        <v>24</v>
      </c>
      <c r="C10" s="4" t="s">
        <v>31</v>
      </c>
      <c r="D10" s="4">
        <v>37</v>
      </c>
      <c r="E10" s="4" t="s">
        <v>15</v>
      </c>
      <c r="F10" s="4">
        <v>100000</v>
      </c>
      <c r="G10" s="4">
        <v>9876543218</v>
      </c>
      <c r="H10" s="12">
        <v>8934</v>
      </c>
      <c r="J10" t="s">
        <v>30</v>
      </c>
      <c r="K10" t="s">
        <v>57</v>
      </c>
      <c r="L10" cm="1">
        <f t="array" ref="L10">SUM(VLOOKUP(J10,A1:H11,{6,8},0))</f>
        <v>108934</v>
      </c>
    </row>
    <row r="11" spans="1:16" ht="28.8">
      <c r="A11" s="4" t="s">
        <v>32</v>
      </c>
      <c r="B11" s="4" t="s">
        <v>33</v>
      </c>
      <c r="C11" s="4" t="s">
        <v>22</v>
      </c>
      <c r="D11" s="4">
        <v>35</v>
      </c>
      <c r="E11" s="4" t="s">
        <v>15</v>
      </c>
      <c r="F11" s="4">
        <v>95000</v>
      </c>
      <c r="G11" s="4">
        <v>9876543219</v>
      </c>
      <c r="H11" s="12">
        <v>6894</v>
      </c>
      <c r="J11" t="s">
        <v>23</v>
      </c>
      <c r="K11" t="s">
        <v>58</v>
      </c>
      <c r="L11" cm="1">
        <f t="array" ref="L11">MIN(VLOOKUP(J11,A2:H11,{6,8},0))</f>
        <v>8417</v>
      </c>
    </row>
    <row r="12" spans="1:16">
      <c r="J12" t="s">
        <v>19</v>
      </c>
      <c r="K12" t="s">
        <v>59</v>
      </c>
      <c r="L12" cm="1">
        <f t="array" ref="L12">MAX(VLOOKUP(J12,A1:H11,{6,8},0))</f>
        <v>120000</v>
      </c>
    </row>
    <row r="13" spans="1:16">
      <c r="J13" t="s">
        <v>60</v>
      </c>
      <c r="K13" t="s">
        <v>61</v>
      </c>
      <c r="L13" t="e" cm="1">
        <f t="array" ref="L13">AVERAGE(VLOOKUP(J13,A1:H11,{6,8},0))</f>
        <v>#N/A</v>
      </c>
    </row>
    <row r="14" spans="1:16">
      <c r="L14" t="e" cm="1">
        <f t="array" ref="L14">VLOOKUP(J13,A1:H11,{6,8},0)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4898-302B-46AB-A949-F53574C6EBC0}">
  <dimension ref="A1:Q11"/>
  <sheetViews>
    <sheetView workbookViewId="0">
      <selection activeCell="J10" sqref="J10"/>
    </sheetView>
  </sheetViews>
  <sheetFormatPr defaultRowHeight="14.4"/>
  <sheetData>
    <row r="1" spans="1:17">
      <c r="A1" s="9" t="s">
        <v>1</v>
      </c>
      <c r="B1" s="9" t="s">
        <v>43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44</v>
      </c>
    </row>
    <row r="2" spans="1:17">
      <c r="A2" s="10" t="s">
        <v>8</v>
      </c>
      <c r="B2" s="10" t="s">
        <v>9</v>
      </c>
      <c r="C2" s="10">
        <v>258</v>
      </c>
      <c r="D2" s="10">
        <v>137</v>
      </c>
      <c r="E2" s="10">
        <v>240</v>
      </c>
      <c r="F2" s="10">
        <v>291</v>
      </c>
      <c r="G2" s="10">
        <v>131</v>
      </c>
      <c r="H2" s="10">
        <v>159</v>
      </c>
      <c r="J2" t="s">
        <v>24</v>
      </c>
      <c r="K2" s="11" t="s">
        <v>46</v>
      </c>
      <c r="L2" cm="1">
        <f t="array" ref="L2">SUM(VLOOKUP(J2,B1:H11,{2,3,4,5,6},0))</f>
        <v>1085</v>
      </c>
    </row>
    <row r="3" spans="1:17">
      <c r="A3" s="10" t="s">
        <v>12</v>
      </c>
      <c r="B3" s="10" t="s">
        <v>13</v>
      </c>
      <c r="C3" s="10">
        <v>273</v>
      </c>
      <c r="D3" s="10">
        <v>119</v>
      </c>
      <c r="E3" s="10">
        <v>186</v>
      </c>
      <c r="F3" s="10">
        <v>127</v>
      </c>
      <c r="G3" s="10">
        <v>574</v>
      </c>
      <c r="H3" s="10">
        <v>295</v>
      </c>
    </row>
    <row r="4" spans="1:17">
      <c r="A4" s="10" t="s">
        <v>16</v>
      </c>
      <c r="B4" s="10" t="s">
        <v>45</v>
      </c>
      <c r="C4" s="10">
        <v>196</v>
      </c>
      <c r="D4" s="10">
        <v>203</v>
      </c>
      <c r="E4" s="10">
        <v>160</v>
      </c>
      <c r="F4" s="10">
        <v>144</v>
      </c>
      <c r="G4" s="10">
        <v>220</v>
      </c>
      <c r="H4" s="10">
        <v>220</v>
      </c>
      <c r="J4" s="11" t="s">
        <v>23</v>
      </c>
      <c r="K4" s="11" t="s">
        <v>47</v>
      </c>
      <c r="L4" cm="1">
        <f t="array" ref="L4">MAX(VLOOKUP(J4,A1:H11,{3,4,5,6,7,8},0))</f>
        <v>250</v>
      </c>
    </row>
    <row r="5" spans="1:17">
      <c r="A5" s="10" t="s">
        <v>19</v>
      </c>
      <c r="B5" s="10" t="s">
        <v>20</v>
      </c>
      <c r="C5" s="10">
        <v>236</v>
      </c>
      <c r="D5" s="10">
        <v>273</v>
      </c>
      <c r="E5" s="10">
        <v>215</v>
      </c>
      <c r="F5" s="10">
        <v>114</v>
      </c>
      <c r="G5" s="10">
        <v>134</v>
      </c>
      <c r="H5" s="10">
        <v>207</v>
      </c>
      <c r="J5" s="11" t="s">
        <v>16</v>
      </c>
      <c r="K5" t="str">
        <f>VLOOKUP($J$5,$A$1:$H$11,COLUMN(B1),0)</f>
        <v>Ram</v>
      </c>
      <c r="L5">
        <f t="shared" ref="L5:Q5" si="0">VLOOKUP($J$5,$A$1:$H$11,COLUMN(C1),0)</f>
        <v>196</v>
      </c>
      <c r="M5">
        <f t="shared" si="0"/>
        <v>203</v>
      </c>
      <c r="N5">
        <f t="shared" si="0"/>
        <v>160</v>
      </c>
      <c r="O5">
        <f t="shared" si="0"/>
        <v>144</v>
      </c>
      <c r="P5">
        <f t="shared" si="0"/>
        <v>220</v>
      </c>
      <c r="Q5">
        <f t="shared" si="0"/>
        <v>220</v>
      </c>
    </row>
    <row r="6" spans="1:17">
      <c r="A6" s="10" t="s">
        <v>21</v>
      </c>
      <c r="B6" s="10" t="s">
        <v>9</v>
      </c>
      <c r="C6" s="10">
        <v>114</v>
      </c>
      <c r="D6" s="10">
        <v>131</v>
      </c>
      <c r="E6" s="10">
        <v>132</v>
      </c>
      <c r="F6" s="10">
        <v>244</v>
      </c>
      <c r="G6" s="10">
        <v>150</v>
      </c>
      <c r="H6" s="10">
        <v>235</v>
      </c>
      <c r="J6" s="11" t="s">
        <v>16</v>
      </c>
      <c r="K6" s="11" t="s">
        <v>48</v>
      </c>
      <c r="L6" s="11" cm="1">
        <f t="array" ref="L6">MIN(VLOOKUP(J6,A1:H11,{3,4,5,6,7,8},0))</f>
        <v>144</v>
      </c>
    </row>
    <row r="7" spans="1:17">
      <c r="A7" s="10" t="s">
        <v>23</v>
      </c>
      <c r="B7" s="10" t="s">
        <v>24</v>
      </c>
      <c r="C7" s="10">
        <v>209</v>
      </c>
      <c r="D7" s="10">
        <v>229</v>
      </c>
      <c r="E7" s="10">
        <v>236</v>
      </c>
      <c r="F7" s="10">
        <v>250</v>
      </c>
      <c r="G7" s="10">
        <v>161</v>
      </c>
      <c r="H7" s="10">
        <v>131</v>
      </c>
      <c r="J7" s="11" t="s">
        <v>21</v>
      </c>
      <c r="K7" s="11" t="s">
        <v>49</v>
      </c>
      <c r="L7" cm="1">
        <f t="array" ref="L7">AVERAGE(VLOOKUP(J7,A1:H11,{3,4,5,6,7,8},0))</f>
        <v>167.66666666666666</v>
      </c>
    </row>
    <row r="8" spans="1:17">
      <c r="A8" s="10" t="s">
        <v>25</v>
      </c>
      <c r="B8" s="10" t="s">
        <v>26</v>
      </c>
      <c r="C8" s="10">
        <v>281</v>
      </c>
      <c r="D8" s="10">
        <v>208</v>
      </c>
      <c r="E8" s="10">
        <v>210</v>
      </c>
      <c r="F8" s="10">
        <v>182</v>
      </c>
      <c r="G8" s="10">
        <v>204</v>
      </c>
      <c r="H8" s="10">
        <v>135</v>
      </c>
    </row>
    <row r="9" spans="1:17">
      <c r="A9" s="10" t="s">
        <v>28</v>
      </c>
      <c r="B9" s="10" t="s">
        <v>29</v>
      </c>
      <c r="C9" s="10">
        <v>174</v>
      </c>
      <c r="D9" s="10">
        <v>108</v>
      </c>
      <c r="E9" s="10">
        <v>292</v>
      </c>
      <c r="F9" s="10">
        <v>209</v>
      </c>
      <c r="G9" s="10">
        <v>240</v>
      </c>
      <c r="H9" s="10">
        <v>200</v>
      </c>
    </row>
    <row r="10" spans="1:17">
      <c r="A10" s="10" t="s">
        <v>30</v>
      </c>
      <c r="B10" s="10" t="s">
        <v>24</v>
      </c>
      <c r="C10" s="10">
        <v>207</v>
      </c>
      <c r="D10" s="10">
        <v>180</v>
      </c>
      <c r="E10" s="10">
        <v>185</v>
      </c>
      <c r="F10" s="10">
        <v>290</v>
      </c>
      <c r="G10" s="10">
        <v>281</v>
      </c>
      <c r="H10" s="10">
        <v>284</v>
      </c>
    </row>
    <row r="11" spans="1:17">
      <c r="A11" s="10" t="s">
        <v>32</v>
      </c>
      <c r="B11" s="10" t="s">
        <v>33</v>
      </c>
      <c r="C11" s="10">
        <v>179</v>
      </c>
      <c r="D11" s="10">
        <v>184</v>
      </c>
      <c r="E11" s="10">
        <v>266</v>
      </c>
      <c r="F11" s="10">
        <v>232</v>
      </c>
      <c r="G11" s="10">
        <v>194</v>
      </c>
      <c r="H11" s="10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hosp.file</vt:lpstr>
      <vt:lpstr>Sheet1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</dc:creator>
  <cp:lastModifiedBy>uma rajput</cp:lastModifiedBy>
  <dcterms:created xsi:type="dcterms:W3CDTF">2026-04-27T10:47:26Z</dcterms:created>
  <dcterms:modified xsi:type="dcterms:W3CDTF">2026-08-05T07:51:08Z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70188084E2A24C64B5D2953580327BB7_11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