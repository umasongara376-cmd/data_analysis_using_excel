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6f87736217be48/Documents/"/>
    </mc:Choice>
  </mc:AlternateContent>
  <xr:revisionPtr revIDLastSave="1" documentId="8_{72FA4459-F126-4CB9-AFBC-1F130DD49FDF}" xr6:coauthVersionLast="47" xr6:coauthVersionMax="47" xr10:uidLastSave="{7314B9F9-05EB-4442-A49B-D69BCF5FD017}"/>
  <bookViews>
    <workbookView xWindow="-108" yWindow="-108" windowWidth="23256" windowHeight="12456" xr2:uid="{126CDDD0-2483-461C-AA67-F987E10DE108}"/>
  </bookViews>
  <sheets>
    <sheet name="Q1" sheetId="1" r:id="rId1"/>
    <sheet name="Q2" sheetId="4" r:id="rId2"/>
    <sheet name="Q3" sheetId="5" r:id="rId3"/>
    <sheet name="SUM" sheetId="6" r:id="rId4"/>
    <sheet name="MAX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B2" i="7"/>
  <c r="C2" i="7"/>
  <c r="D2" i="7"/>
  <c r="E2" i="7"/>
  <c r="B3" i="7"/>
  <c r="C3" i="7"/>
  <c r="D3" i="7"/>
  <c r="D5" i="7" s="1"/>
  <c r="E3" i="7"/>
  <c r="B4" i="7"/>
  <c r="C4" i="7"/>
  <c r="D4" i="7"/>
  <c r="E4" i="7"/>
  <c r="B6" i="7"/>
  <c r="B9" i="7" s="1"/>
  <c r="C6" i="7"/>
  <c r="C9" i="7" s="1"/>
  <c r="D6" i="7"/>
  <c r="E6" i="7"/>
  <c r="B7" i="7"/>
  <c r="C7" i="7"/>
  <c r="D7" i="7"/>
  <c r="E7" i="7"/>
  <c r="E9" i="7" s="1"/>
  <c r="B8" i="7"/>
  <c r="C8" i="7"/>
  <c r="D8" i="7"/>
  <c r="E8" i="7"/>
  <c r="B10" i="7"/>
  <c r="B13" i="7" s="1"/>
  <c r="C10" i="7"/>
  <c r="C13" i="7" s="1"/>
  <c r="D10" i="7"/>
  <c r="D13" i="7" s="1"/>
  <c r="E10" i="7"/>
  <c r="B11" i="7"/>
  <c r="C11" i="7"/>
  <c r="D11" i="7"/>
  <c r="E11" i="7"/>
  <c r="B12" i="7"/>
  <c r="C12" i="7"/>
  <c r="D12" i="7"/>
  <c r="E12" i="7"/>
  <c r="B14" i="7"/>
  <c r="C14" i="7"/>
  <c r="C17" i="7" s="1"/>
  <c r="D14" i="7"/>
  <c r="D17" i="7" s="1"/>
  <c r="E14" i="7"/>
  <c r="E17" i="7" s="1"/>
  <c r="B15" i="7"/>
  <c r="C15" i="7"/>
  <c r="D15" i="7"/>
  <c r="E15" i="7"/>
  <c r="B16" i="7"/>
  <c r="C16" i="7"/>
  <c r="D16" i="7"/>
  <c r="E16" i="7"/>
  <c r="B18" i="7"/>
  <c r="C18" i="7"/>
  <c r="D18" i="7"/>
  <c r="E18" i="7"/>
  <c r="B19" i="7"/>
  <c r="C19" i="7"/>
  <c r="D19" i="7"/>
  <c r="E19" i="7"/>
  <c r="B20" i="7"/>
  <c r="C20" i="7"/>
  <c r="D20" i="7"/>
  <c r="E20" i="7"/>
  <c r="E21" i="7"/>
  <c r="B22" i="7"/>
  <c r="B25" i="7" s="1"/>
  <c r="C22" i="7"/>
  <c r="D22" i="7"/>
  <c r="E22" i="7"/>
  <c r="B23" i="7"/>
  <c r="C23" i="7"/>
  <c r="D23" i="7"/>
  <c r="D25" i="7" s="1"/>
  <c r="E23" i="7"/>
  <c r="E25" i="7" s="1"/>
  <c r="B24" i="7"/>
  <c r="C24" i="7"/>
  <c r="D24" i="7"/>
  <c r="E24" i="7"/>
  <c r="B26" i="7"/>
  <c r="B29" i="7" s="1"/>
  <c r="C26" i="7"/>
  <c r="D26" i="7"/>
  <c r="D29" i="7" s="1"/>
  <c r="E26" i="7"/>
  <c r="B27" i="7"/>
  <c r="C27" i="7"/>
  <c r="D27" i="7"/>
  <c r="E27" i="7"/>
  <c r="B28" i="7"/>
  <c r="C28" i="7"/>
  <c r="D28" i="7"/>
  <c r="E28" i="7"/>
  <c r="B30" i="7"/>
  <c r="C30" i="7"/>
  <c r="D30" i="7"/>
  <c r="D33" i="7" s="1"/>
  <c r="E30" i="7"/>
  <c r="E33" i="7" s="1"/>
  <c r="B31" i="7"/>
  <c r="C31" i="7"/>
  <c r="D31" i="7"/>
  <c r="E31" i="7"/>
  <c r="B32" i="7"/>
  <c r="C32" i="7"/>
  <c r="D32" i="7"/>
  <c r="E32" i="7"/>
  <c r="B34" i="7"/>
  <c r="C34" i="7"/>
  <c r="D34" i="7"/>
  <c r="E34" i="7"/>
  <c r="E37" i="7" s="1"/>
  <c r="B35" i="7"/>
  <c r="C35" i="7"/>
  <c r="D35" i="7"/>
  <c r="E35" i="7"/>
  <c r="B36" i="7"/>
  <c r="C36" i="7"/>
  <c r="D36" i="7"/>
  <c r="E36" i="7"/>
  <c r="B38" i="7"/>
  <c r="C38" i="7"/>
  <c r="D38" i="7"/>
  <c r="E38" i="7"/>
  <c r="B39" i="7"/>
  <c r="C39" i="7"/>
  <c r="D39" i="7"/>
  <c r="D41" i="7" s="1"/>
  <c r="E39" i="7"/>
  <c r="B40" i="7"/>
  <c r="C40" i="7"/>
  <c r="D40" i="7"/>
  <c r="E40" i="7"/>
  <c r="B2" i="6"/>
  <c r="C2" i="6"/>
  <c r="D2" i="6"/>
  <c r="E2" i="6"/>
  <c r="B3" i="6"/>
  <c r="C3" i="6"/>
  <c r="D3" i="6"/>
  <c r="E3" i="6"/>
  <c r="B4" i="6"/>
  <c r="C4" i="6"/>
  <c r="D4" i="6"/>
  <c r="B6" i="6"/>
  <c r="B9" i="6" s="1"/>
  <c r="C6" i="6"/>
  <c r="D6" i="6"/>
  <c r="D9" i="6" s="1"/>
  <c r="E6" i="6"/>
  <c r="B7" i="6"/>
  <c r="C7" i="6"/>
  <c r="D7" i="6"/>
  <c r="E7" i="6"/>
  <c r="B8" i="6"/>
  <c r="C8" i="6"/>
  <c r="D8" i="6"/>
  <c r="E8" i="6"/>
  <c r="B10" i="6"/>
  <c r="B13" i="6" s="1"/>
  <c r="C10" i="6"/>
  <c r="D10" i="6"/>
  <c r="E10" i="6"/>
  <c r="B11" i="6"/>
  <c r="C11" i="6"/>
  <c r="D11" i="6"/>
  <c r="E11" i="6"/>
  <c r="B12" i="6"/>
  <c r="C12" i="6"/>
  <c r="D12" i="6"/>
  <c r="E12" i="6"/>
  <c r="B14" i="6"/>
  <c r="B17" i="6" s="1"/>
  <c r="C14" i="6"/>
  <c r="C17" i="6" s="1"/>
  <c r="D14" i="6"/>
  <c r="D17" i="6" s="1"/>
  <c r="E14" i="6"/>
  <c r="E17" i="6" s="1"/>
  <c r="B15" i="6"/>
  <c r="C15" i="6"/>
  <c r="D15" i="6"/>
  <c r="E15" i="6"/>
  <c r="B16" i="6"/>
  <c r="C16" i="6"/>
  <c r="D16" i="6"/>
  <c r="E16" i="6"/>
  <c r="B18" i="6"/>
  <c r="B21" i="6" s="1"/>
  <c r="C18" i="6"/>
  <c r="D18" i="6"/>
  <c r="E18" i="6"/>
  <c r="B19" i="6"/>
  <c r="C19" i="6"/>
  <c r="D19" i="6"/>
  <c r="E19" i="6"/>
  <c r="B20" i="6"/>
  <c r="C20" i="6"/>
  <c r="D20" i="6"/>
  <c r="E20" i="6"/>
  <c r="B22" i="6"/>
  <c r="B25" i="6" s="1"/>
  <c r="C22" i="6"/>
  <c r="C25" i="6" s="1"/>
  <c r="D22" i="6"/>
  <c r="E22" i="6"/>
  <c r="B23" i="6"/>
  <c r="C23" i="6"/>
  <c r="D23" i="6"/>
  <c r="E23" i="6"/>
  <c r="B24" i="6"/>
  <c r="C24" i="6"/>
  <c r="D24" i="6"/>
  <c r="E24" i="6"/>
  <c r="B26" i="6"/>
  <c r="B29" i="6" s="1"/>
  <c r="C26" i="6"/>
  <c r="C29" i="6" s="1"/>
  <c r="D26" i="6"/>
  <c r="D29" i="6" s="1"/>
  <c r="E26" i="6"/>
  <c r="B27" i="6"/>
  <c r="C27" i="6"/>
  <c r="D27" i="6"/>
  <c r="E27" i="6"/>
  <c r="B28" i="6"/>
  <c r="C28" i="6"/>
  <c r="D28" i="6"/>
  <c r="E28" i="6"/>
  <c r="B30" i="6"/>
  <c r="C30" i="6"/>
  <c r="D30" i="6"/>
  <c r="E30" i="6"/>
  <c r="B31" i="6"/>
  <c r="C31" i="6"/>
  <c r="D31" i="6"/>
  <c r="E31" i="6"/>
  <c r="B32" i="6"/>
  <c r="C32" i="6"/>
  <c r="D32" i="6"/>
  <c r="E32" i="6"/>
  <c r="B34" i="6"/>
  <c r="B37" i="6" s="1"/>
  <c r="C34" i="6"/>
  <c r="C37" i="6" s="1"/>
  <c r="D34" i="6"/>
  <c r="D37" i="6" s="1"/>
  <c r="E34" i="6"/>
  <c r="E37" i="6" s="1"/>
  <c r="B35" i="6"/>
  <c r="C35" i="6"/>
  <c r="D35" i="6"/>
  <c r="E35" i="6"/>
  <c r="B36" i="6"/>
  <c r="C36" i="6"/>
  <c r="D36" i="6"/>
  <c r="E36" i="6"/>
  <c r="B38" i="6"/>
  <c r="C38" i="6"/>
  <c r="D38" i="6"/>
  <c r="E38" i="6"/>
  <c r="B39" i="6"/>
  <c r="C39" i="6"/>
  <c r="D39" i="6"/>
  <c r="E39" i="6"/>
  <c r="C40" i="6"/>
  <c r="D40" i="6"/>
  <c r="B11" i="5"/>
  <c r="B40" i="6" s="1"/>
  <c r="C11" i="5"/>
  <c r="E3" i="5"/>
  <c r="D11" i="5"/>
  <c r="E5" i="5"/>
  <c r="E7" i="5"/>
  <c r="E9" i="5"/>
  <c r="E10" i="5"/>
  <c r="E8" i="5"/>
  <c r="E6" i="5"/>
  <c r="E4" i="5"/>
  <c r="E7" i="4"/>
  <c r="E6" i="4"/>
  <c r="B33" i="6" l="1"/>
  <c r="D9" i="7"/>
  <c r="D37" i="7"/>
  <c r="E29" i="7"/>
  <c r="E41" i="7"/>
  <c r="D21" i="7"/>
  <c r="E13" i="7"/>
  <c r="E5" i="7"/>
  <c r="C37" i="7"/>
  <c r="B37" i="7"/>
  <c r="B21" i="7"/>
  <c r="C5" i="7"/>
  <c r="B41" i="7"/>
  <c r="C29" i="7"/>
  <c r="C33" i="7"/>
  <c r="B33" i="7"/>
  <c r="B17" i="7"/>
  <c r="C21" i="7"/>
  <c r="C41" i="7"/>
  <c r="C25" i="7"/>
  <c r="B5" i="7"/>
  <c r="E29" i="6"/>
  <c r="E9" i="6"/>
  <c r="E21" i="6"/>
  <c r="D41" i="6"/>
  <c r="E33" i="6"/>
  <c r="C9" i="6"/>
  <c r="C41" i="6"/>
  <c r="C21" i="6"/>
  <c r="E13" i="6"/>
  <c r="C33" i="6"/>
  <c r="E25" i="6"/>
  <c r="D13" i="6"/>
  <c r="D5" i="6"/>
  <c r="B41" i="6"/>
  <c r="D21" i="6"/>
  <c r="D33" i="6"/>
  <c r="D25" i="6"/>
  <c r="C13" i="6"/>
  <c r="C5" i="6"/>
  <c r="B5" i="6"/>
  <c r="E3" i="4"/>
  <c r="E9" i="4"/>
  <c r="E10" i="4"/>
  <c r="E4" i="4"/>
  <c r="E2" i="5"/>
  <c r="B11" i="4"/>
  <c r="C11" i="4"/>
  <c r="E5" i="4"/>
  <c r="D11" i="4"/>
  <c r="E8" i="4"/>
  <c r="C11" i="1"/>
  <c r="D11" i="1"/>
  <c r="E2" i="4"/>
  <c r="B11" i="1"/>
  <c r="E8" i="1"/>
  <c r="E5" i="1"/>
  <c r="E6" i="1"/>
  <c r="E10" i="1"/>
  <c r="E3" i="1"/>
  <c r="E7" i="1"/>
  <c r="E4" i="1"/>
  <c r="E9" i="1"/>
  <c r="E2" i="1"/>
  <c r="E11" i="5" l="1"/>
  <c r="E40" i="6" s="1"/>
  <c r="E41" i="6" s="1"/>
  <c r="E4" i="6"/>
  <c r="E5" i="6" s="1"/>
  <c r="E11" i="4"/>
  <c r="E11" i="1"/>
</calcChain>
</file>

<file path=xl/sharedStrings.xml><?xml version="1.0" encoding="utf-8"?>
<sst xmlns="http://schemas.openxmlformats.org/spreadsheetml/2006/main" count="80" uniqueCount="18">
  <si>
    <t>product</t>
  </si>
  <si>
    <t>jan</t>
  </si>
  <si>
    <t>feb</t>
  </si>
  <si>
    <t>mar</t>
  </si>
  <si>
    <t>total</t>
  </si>
  <si>
    <t>coffee</t>
  </si>
  <si>
    <t>candy</t>
  </si>
  <si>
    <t>chocalate</t>
  </si>
  <si>
    <t>sugar</t>
  </si>
  <si>
    <t>milk powder</t>
  </si>
  <si>
    <t>biscuits</t>
  </si>
  <si>
    <t>cold drinks</t>
  </si>
  <si>
    <t>energy drinks</t>
  </si>
  <si>
    <t>fruits juice</t>
  </si>
  <si>
    <t>dynamic ch.</t>
  </si>
  <si>
    <t>ans</t>
  </si>
  <si>
    <t xml:space="preserve">find total of sugar </t>
  </si>
  <si>
    <t>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</si>
</sst>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2" xfId="0" applyFill="1" applyBorder="1"/>
    <xf numFmtId="0" fontId="0" fillId="0" borderId="3" xfId="0" applyBorder="1"/>
    <xf numFmtId="0" fontId="1" fillId="5" borderId="0" xfId="0" applyFont="1" applyFill="1" applyAlignment="1">
      <alignment horizontal="left"/>
    </xf>
    <xf numFmtId="0" fontId="2" fillId="5" borderId="3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left"/>
    </xf>
    <xf numFmtId="0" fontId="0" fillId="0" borderId="4" xfId="0" applyBorder="1"/>
    <xf numFmtId="0" fontId="4" fillId="5" borderId="0" xfId="0" applyFont="1" applyFill="1"/>
    <xf numFmtId="0" fontId="4" fillId="5" borderId="6" xfId="0" applyFont="1" applyFill="1" applyBorder="1"/>
    <xf numFmtId="0" fontId="4" fillId="6" borderId="7" xfId="0" applyFont="1" applyFill="1" applyBorder="1"/>
    <xf numFmtId="0" fontId="1" fillId="5" borderId="5" xfId="0" applyFont="1" applyFill="1" applyBorder="1" applyAlignment="1">
      <alignment horizontal="left"/>
    </xf>
    <xf numFmtId="0" fontId="4" fillId="7" borderId="10" xfId="0" applyFont="1" applyFill="1" applyBorder="1"/>
    <xf numFmtId="0" fontId="4" fillId="7" borderId="11" xfId="0" applyFont="1" applyFill="1" applyBorder="1"/>
    <xf numFmtId="0" fontId="1" fillId="7" borderId="9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right"/>
    </xf>
    <xf numFmtId="0" fontId="5" fillId="6" borderId="8" xfId="0" applyFont="1" applyFill="1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2" borderId="1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1EAF-B5FA-4BC6-931D-26CF531FF6AF}">
  <dimension ref="A1:J11"/>
  <sheetViews>
    <sheetView tabSelected="1" workbookViewId="0">
      <selection activeCell="B15" sqref="B15"/>
    </sheetView>
  </sheetViews>
  <sheetFormatPr defaultRowHeight="14.4" x14ac:dyDescent="0.3"/>
  <cols>
    <col min="1" max="1" width="11.6640625" customWidth="1"/>
    <col min="7" max="7" width="15" bestFit="1" customWidth="1"/>
    <col min="8" max="8" width="10.66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G1" s="27" t="s">
        <v>17</v>
      </c>
      <c r="H1" s="1" t="s">
        <v>14</v>
      </c>
      <c r="I1" s="1"/>
      <c r="J1" s="1" t="s">
        <v>15</v>
      </c>
    </row>
    <row r="2" spans="1:10" x14ac:dyDescent="0.3">
      <c r="A2" s="2" t="s">
        <v>5</v>
      </c>
      <c r="B2" s="2">
        <v>322</v>
      </c>
      <c r="C2" s="2">
        <v>554</v>
      </c>
      <c r="D2" s="2">
        <v>299</v>
      </c>
      <c r="E2" s="2">
        <f>SUM(B2:D2)</f>
        <v>1175</v>
      </c>
    </row>
    <row r="3" spans="1:10" x14ac:dyDescent="0.3">
      <c r="A3" s="2" t="s">
        <v>6</v>
      </c>
      <c r="B3" s="2">
        <v>655</v>
      </c>
      <c r="C3" s="2">
        <v>576</v>
      </c>
      <c r="D3" s="2">
        <v>687</v>
      </c>
      <c r="E3" s="2">
        <f t="shared" ref="E3:E10" si="0">SUM(B3:D3)</f>
        <v>1918</v>
      </c>
      <c r="G3" t="s">
        <v>16</v>
      </c>
      <c r="H3" s="21" t="s">
        <v>4</v>
      </c>
      <c r="I3" s="22" t="s">
        <v>0</v>
      </c>
      <c r="J3" s="23"/>
    </row>
    <row r="4" spans="1:10" x14ac:dyDescent="0.3">
      <c r="A4" s="2" t="s">
        <v>7</v>
      </c>
      <c r="B4" s="2">
        <v>207</v>
      </c>
      <c r="C4" s="2">
        <v>155</v>
      </c>
      <c r="D4" s="2">
        <v>152</v>
      </c>
      <c r="E4" s="2">
        <f t="shared" si="0"/>
        <v>514</v>
      </c>
      <c r="H4" s="24"/>
      <c r="I4" s="25" t="s">
        <v>6</v>
      </c>
      <c r="J4" s="26">
        <f>DGET(A1:E11,H3,I3:I4)</f>
        <v>1918</v>
      </c>
    </row>
    <row r="5" spans="1:10" x14ac:dyDescent="0.3">
      <c r="A5" s="2" t="s">
        <v>8</v>
      </c>
      <c r="B5" s="2">
        <v>692</v>
      </c>
      <c r="C5" s="2">
        <v>219</v>
      </c>
      <c r="D5" s="2">
        <v>646</v>
      </c>
      <c r="E5" s="2">
        <f t="shared" si="0"/>
        <v>1557</v>
      </c>
    </row>
    <row r="6" spans="1:10" x14ac:dyDescent="0.3">
      <c r="A6" s="2" t="s">
        <v>9</v>
      </c>
      <c r="B6" s="2">
        <v>207</v>
      </c>
      <c r="C6" s="2">
        <v>822</v>
      </c>
      <c r="D6" s="2">
        <v>395</v>
      </c>
      <c r="E6" s="2">
        <f t="shared" si="0"/>
        <v>1424</v>
      </c>
    </row>
    <row r="7" spans="1:10" x14ac:dyDescent="0.3">
      <c r="A7" s="2" t="s">
        <v>10</v>
      </c>
      <c r="B7" s="2">
        <v>759</v>
      </c>
      <c r="C7" s="2">
        <v>652</v>
      </c>
      <c r="D7" s="2">
        <v>447</v>
      </c>
      <c r="E7" s="2">
        <f t="shared" si="0"/>
        <v>1858</v>
      </c>
    </row>
    <row r="8" spans="1:10" x14ac:dyDescent="0.3">
      <c r="A8" s="2" t="s">
        <v>11</v>
      </c>
      <c r="B8" s="2">
        <v>447</v>
      </c>
      <c r="C8" s="2">
        <v>623</v>
      </c>
      <c r="D8" s="2">
        <v>579</v>
      </c>
      <c r="E8" s="2">
        <f t="shared" si="0"/>
        <v>1649</v>
      </c>
    </row>
    <row r="9" spans="1:10" x14ac:dyDescent="0.3">
      <c r="A9" s="2" t="s">
        <v>12</v>
      </c>
      <c r="B9" s="2">
        <v>195</v>
      </c>
      <c r="C9" s="2">
        <v>554</v>
      </c>
      <c r="D9" s="2">
        <v>727</v>
      </c>
      <c r="E9" s="2">
        <f t="shared" si="0"/>
        <v>1476</v>
      </c>
    </row>
    <row r="10" spans="1:10" x14ac:dyDescent="0.3">
      <c r="A10" s="2" t="s">
        <v>13</v>
      </c>
      <c r="B10" s="2">
        <v>211</v>
      </c>
      <c r="C10" s="2">
        <v>850</v>
      </c>
      <c r="D10" s="2">
        <v>799</v>
      </c>
      <c r="E10" s="2">
        <f t="shared" si="0"/>
        <v>1860</v>
      </c>
    </row>
    <row r="11" spans="1:10" x14ac:dyDescent="0.3">
      <c r="A11" s="4" t="s">
        <v>4</v>
      </c>
      <c r="B11" s="3">
        <f>SUM(B2:B10)</f>
        <v>3695</v>
      </c>
      <c r="C11" s="3">
        <f t="shared" ref="C11:E11" si="1">SUM(C2:C10)</f>
        <v>5005</v>
      </c>
      <c r="D11" s="3">
        <f t="shared" si="1"/>
        <v>4731</v>
      </c>
      <c r="E11" s="3">
        <f t="shared" si="1"/>
        <v>13431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5D99-DDDA-4B71-B6D1-1A3C4D3084EF}">
  <dimension ref="A1:E11"/>
  <sheetViews>
    <sheetView workbookViewId="0">
      <selection activeCell="A11" sqref="A11"/>
    </sheetView>
  </sheetViews>
  <sheetFormatPr defaultRowHeight="14.4" x14ac:dyDescent="0.3"/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3">
      <c r="A2" s="2" t="s">
        <v>5</v>
      </c>
      <c r="B2" s="2">
        <v>514</v>
      </c>
      <c r="C2" s="2">
        <v>799</v>
      </c>
      <c r="D2" s="2">
        <v>394</v>
      </c>
      <c r="E2" s="2">
        <f>SUM(B2:D2)</f>
        <v>1707</v>
      </c>
    </row>
    <row r="3" spans="1:5" x14ac:dyDescent="0.3">
      <c r="A3" s="2" t="s">
        <v>6</v>
      </c>
      <c r="B3" s="2">
        <v>934</v>
      </c>
      <c r="C3" s="2">
        <v>242</v>
      </c>
      <c r="D3" s="2">
        <v>256</v>
      </c>
      <c r="E3" s="2">
        <f t="shared" ref="E3:E10" si="0">SUM(B3:D3)</f>
        <v>1432</v>
      </c>
    </row>
    <row r="4" spans="1:5" x14ac:dyDescent="0.3">
      <c r="A4" s="2" t="s">
        <v>7</v>
      </c>
      <c r="B4" s="2">
        <v>327</v>
      </c>
      <c r="C4" s="2">
        <v>526</v>
      </c>
      <c r="D4" s="2">
        <v>291</v>
      </c>
      <c r="E4" s="2">
        <f t="shared" si="0"/>
        <v>1144</v>
      </c>
    </row>
    <row r="5" spans="1:5" x14ac:dyDescent="0.3">
      <c r="A5" s="2" t="s">
        <v>8</v>
      </c>
      <c r="B5" s="2">
        <v>644</v>
      </c>
      <c r="C5" s="2">
        <v>525</v>
      </c>
      <c r="D5" s="2">
        <v>867</v>
      </c>
      <c r="E5" s="2">
        <f t="shared" si="0"/>
        <v>2036</v>
      </c>
    </row>
    <row r="6" spans="1:5" x14ac:dyDescent="0.3">
      <c r="A6" s="2" t="s">
        <v>9</v>
      </c>
      <c r="B6" s="2">
        <v>975</v>
      </c>
      <c r="C6" s="2">
        <v>537</v>
      </c>
      <c r="D6" s="2">
        <v>210</v>
      </c>
      <c r="E6" s="2">
        <f t="shared" si="0"/>
        <v>1722</v>
      </c>
    </row>
    <row r="7" spans="1:5" x14ac:dyDescent="0.3">
      <c r="A7" s="2" t="s">
        <v>10</v>
      </c>
      <c r="B7" s="2">
        <v>306</v>
      </c>
      <c r="C7" s="2">
        <v>694</v>
      </c>
      <c r="D7" s="2">
        <v>336</v>
      </c>
      <c r="E7" s="2">
        <f t="shared" si="0"/>
        <v>1336</v>
      </c>
    </row>
    <row r="8" spans="1:5" x14ac:dyDescent="0.3">
      <c r="A8" s="2" t="s">
        <v>11</v>
      </c>
      <c r="B8" s="2">
        <v>811</v>
      </c>
      <c r="C8" s="2">
        <v>181</v>
      </c>
      <c r="D8" s="2">
        <v>610</v>
      </c>
      <c r="E8" s="2">
        <f t="shared" si="0"/>
        <v>1602</v>
      </c>
    </row>
    <row r="9" spans="1:5" x14ac:dyDescent="0.3">
      <c r="A9" s="2" t="s">
        <v>12</v>
      </c>
      <c r="B9" s="2">
        <v>253</v>
      </c>
      <c r="C9" s="2">
        <v>964</v>
      </c>
      <c r="D9" s="2">
        <v>637</v>
      </c>
      <c r="E9" s="2">
        <f t="shared" si="0"/>
        <v>1854</v>
      </c>
    </row>
    <row r="10" spans="1:5" x14ac:dyDescent="0.3">
      <c r="A10" s="2" t="s">
        <v>13</v>
      </c>
      <c r="B10" s="2">
        <v>936</v>
      </c>
      <c r="C10" s="2">
        <v>986</v>
      </c>
      <c r="D10" s="2">
        <v>252</v>
      </c>
      <c r="E10" s="2">
        <f t="shared" si="0"/>
        <v>2174</v>
      </c>
    </row>
    <row r="11" spans="1:5" x14ac:dyDescent="0.3">
      <c r="A11" s="4" t="s">
        <v>4</v>
      </c>
      <c r="B11" s="3">
        <f>SUM(B2:B10)</f>
        <v>5700</v>
      </c>
      <c r="C11" s="3">
        <f t="shared" ref="C11:E11" si="1">SUM(C2:C10)</f>
        <v>5454</v>
      </c>
      <c r="D11" s="3">
        <f t="shared" si="1"/>
        <v>3853</v>
      </c>
      <c r="E11" s="3">
        <f t="shared" si="1"/>
        <v>15007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13B4B-D975-47AB-B7E6-E74285F98F36}">
  <dimension ref="A1:E11"/>
  <sheetViews>
    <sheetView workbookViewId="0">
      <selection activeCell="B3" sqref="B3"/>
    </sheetView>
  </sheetViews>
  <sheetFormatPr defaultRowHeight="14.4" x14ac:dyDescent="0.3"/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3">
      <c r="A2" s="2" t="s">
        <v>5</v>
      </c>
      <c r="B2" s="2">
        <v>870</v>
      </c>
      <c r="C2" s="2">
        <v>207</v>
      </c>
      <c r="D2" s="2">
        <v>117</v>
      </c>
      <c r="E2" s="2">
        <f>SUM(B2:D2)</f>
        <v>1194</v>
      </c>
    </row>
    <row r="3" spans="1:5" x14ac:dyDescent="0.3">
      <c r="A3" s="2" t="s">
        <v>6</v>
      </c>
      <c r="B3" s="2">
        <v>279</v>
      </c>
      <c r="C3" s="2">
        <v>158</v>
      </c>
      <c r="D3" s="2">
        <v>253</v>
      </c>
      <c r="E3" s="2">
        <f t="shared" ref="E3:E10" si="0">SUM(B3:D3)</f>
        <v>690</v>
      </c>
    </row>
    <row r="4" spans="1:5" x14ac:dyDescent="0.3">
      <c r="A4" s="2" t="s">
        <v>7</v>
      </c>
      <c r="B4" s="2">
        <v>993</v>
      </c>
      <c r="C4" s="2">
        <v>322</v>
      </c>
      <c r="D4" s="2">
        <v>345</v>
      </c>
      <c r="E4" s="2">
        <f t="shared" si="0"/>
        <v>1660</v>
      </c>
    </row>
    <row r="5" spans="1:5" x14ac:dyDescent="0.3">
      <c r="A5" s="2" t="s">
        <v>8</v>
      </c>
      <c r="B5" s="2">
        <v>608</v>
      </c>
      <c r="C5" s="2">
        <v>247</v>
      </c>
      <c r="D5" s="2">
        <v>602</v>
      </c>
      <c r="E5" s="2">
        <f t="shared" si="0"/>
        <v>1457</v>
      </c>
    </row>
    <row r="6" spans="1:5" x14ac:dyDescent="0.3">
      <c r="A6" s="2" t="s">
        <v>9</v>
      </c>
      <c r="B6" s="2">
        <v>690</v>
      </c>
      <c r="C6" s="2">
        <v>651</v>
      </c>
      <c r="D6" s="2">
        <v>728</v>
      </c>
      <c r="E6" s="2">
        <f t="shared" si="0"/>
        <v>2069</v>
      </c>
    </row>
    <row r="7" spans="1:5" x14ac:dyDescent="0.3">
      <c r="A7" s="2" t="s">
        <v>10</v>
      </c>
      <c r="B7" s="2">
        <v>670</v>
      </c>
      <c r="C7" s="2">
        <v>590</v>
      </c>
      <c r="D7" s="2">
        <v>343</v>
      </c>
      <c r="E7" s="2">
        <f t="shared" si="0"/>
        <v>1603</v>
      </c>
    </row>
    <row r="8" spans="1:5" x14ac:dyDescent="0.3">
      <c r="A8" s="2" t="s">
        <v>11</v>
      </c>
      <c r="B8" s="2">
        <v>529</v>
      </c>
      <c r="C8" s="2">
        <v>551</v>
      </c>
      <c r="D8" s="2">
        <v>839</v>
      </c>
      <c r="E8" s="2">
        <f t="shared" si="0"/>
        <v>1919</v>
      </c>
    </row>
    <row r="9" spans="1:5" x14ac:dyDescent="0.3">
      <c r="A9" s="2" t="s">
        <v>12</v>
      </c>
      <c r="B9" s="2">
        <v>997</v>
      </c>
      <c r="C9" s="2">
        <v>706</v>
      </c>
      <c r="D9" s="2">
        <v>860</v>
      </c>
      <c r="E9" s="2">
        <f t="shared" si="0"/>
        <v>2563</v>
      </c>
    </row>
    <row r="10" spans="1:5" x14ac:dyDescent="0.3">
      <c r="A10" s="2" t="s">
        <v>13</v>
      </c>
      <c r="B10" s="2">
        <v>621</v>
      </c>
      <c r="C10" s="2">
        <v>523</v>
      </c>
      <c r="D10" s="2">
        <v>780</v>
      </c>
      <c r="E10" s="2">
        <f t="shared" si="0"/>
        <v>1924</v>
      </c>
    </row>
    <row r="11" spans="1:5" x14ac:dyDescent="0.3">
      <c r="A11" s="4" t="s">
        <v>4</v>
      </c>
      <c r="B11" s="3">
        <f>SUM(B2:B10)</f>
        <v>6257</v>
      </c>
      <c r="C11" s="3">
        <f t="shared" ref="C11:E11" si="1">SUM(C2:C10)</f>
        <v>3955</v>
      </c>
      <c r="D11" s="3">
        <f t="shared" si="1"/>
        <v>4867</v>
      </c>
      <c r="E11" s="3">
        <f t="shared" si="1"/>
        <v>15079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3EC1-87E1-4887-9218-584963F924EC}">
  <dimension ref="A1:E41"/>
  <sheetViews>
    <sheetView workbookViewId="0">
      <selection activeCell="K13" sqref="K13"/>
    </sheetView>
  </sheetViews>
  <sheetFormatPr defaultRowHeight="14.4" outlineLevelRow="1" x14ac:dyDescent="0.3"/>
  <cols>
    <col min="1" max="1" width="12" bestFit="1" customWidth="1"/>
    <col min="2" max="5" width="6" bestFit="1" customWidth="1"/>
  </cols>
  <sheetData>
    <row r="1" spans="1:5" x14ac:dyDescent="0.3">
      <c r="A1" s="5"/>
      <c r="B1" s="9" t="s">
        <v>1</v>
      </c>
      <c r="C1" s="9" t="s">
        <v>2</v>
      </c>
      <c r="D1" s="9" t="s">
        <v>3</v>
      </c>
      <c r="E1" s="9" t="s">
        <v>4</v>
      </c>
    </row>
    <row r="2" spans="1:5" hidden="1" outlineLevel="1" x14ac:dyDescent="0.3">
      <c r="A2" s="7"/>
      <c r="B2">
        <f>'Q1'!$B$2</f>
        <v>322</v>
      </c>
      <c r="C2">
        <f>'Q1'!$C$2</f>
        <v>554</v>
      </c>
      <c r="D2">
        <f>'Q1'!$D$2</f>
        <v>299</v>
      </c>
      <c r="E2">
        <f>'Q1'!$E$2</f>
        <v>1175</v>
      </c>
    </row>
    <row r="3" spans="1:5" hidden="1" outlineLevel="1" collapsed="1" x14ac:dyDescent="0.3">
      <c r="A3" s="7"/>
      <c r="B3">
        <f>'Q2'!$B$2</f>
        <v>514</v>
      </c>
      <c r="C3">
        <f>'Q2'!$C$2</f>
        <v>799</v>
      </c>
      <c r="D3">
        <f>'Q2'!$D$2</f>
        <v>394</v>
      </c>
      <c r="E3">
        <f>'Q2'!$E$2</f>
        <v>1707</v>
      </c>
    </row>
    <row r="4" spans="1:5" hidden="1" outlineLevel="1" collapsed="1" x14ac:dyDescent="0.3">
      <c r="A4" s="7"/>
      <c r="B4">
        <f>'Q3'!$B$2</f>
        <v>870</v>
      </c>
      <c r="C4">
        <f>'Q3'!$C$2</f>
        <v>207</v>
      </c>
      <c r="D4">
        <f>'Q3'!$D$2</f>
        <v>117</v>
      </c>
      <c r="E4">
        <f>'Q3'!$E$2</f>
        <v>1194</v>
      </c>
    </row>
    <row r="5" spans="1:5" collapsed="1" x14ac:dyDescent="0.3">
      <c r="A5" s="8" t="s">
        <v>5</v>
      </c>
      <c r="B5" s="6">
        <f>SUM(B2:B4)</f>
        <v>1706</v>
      </c>
      <c r="C5" s="6">
        <f>SUM(C2:C4)</f>
        <v>1560</v>
      </c>
      <c r="D5" s="6">
        <f>SUM(D2:D4)</f>
        <v>810</v>
      </c>
      <c r="E5" s="6">
        <f>SUM(E2:E4)</f>
        <v>4076</v>
      </c>
    </row>
    <row r="6" spans="1:5" hidden="1" outlineLevel="1" x14ac:dyDescent="0.3">
      <c r="A6" s="7"/>
      <c r="B6">
        <f>'Q1'!$B$3</f>
        <v>655</v>
      </c>
      <c r="C6">
        <f>'Q1'!$C$3</f>
        <v>576</v>
      </c>
      <c r="D6">
        <f>'Q1'!$D$3</f>
        <v>687</v>
      </c>
      <c r="E6">
        <f>'Q1'!$E$3</f>
        <v>1918</v>
      </c>
    </row>
    <row r="7" spans="1:5" hidden="1" outlineLevel="1" collapsed="1" x14ac:dyDescent="0.3">
      <c r="A7" s="7"/>
      <c r="B7">
        <f>'Q2'!$B$3</f>
        <v>934</v>
      </c>
      <c r="C7">
        <f>'Q2'!$C$3</f>
        <v>242</v>
      </c>
      <c r="D7">
        <f>'Q2'!$D$3</f>
        <v>256</v>
      </c>
      <c r="E7">
        <f>'Q2'!$E$3</f>
        <v>1432</v>
      </c>
    </row>
    <row r="8" spans="1:5" hidden="1" outlineLevel="1" collapsed="1" x14ac:dyDescent="0.3">
      <c r="A8" s="7"/>
      <c r="B8">
        <f>'Q3'!$B$3</f>
        <v>279</v>
      </c>
      <c r="C8">
        <f>'Q3'!$C$3</f>
        <v>158</v>
      </c>
      <c r="D8">
        <f>'Q3'!$D$3</f>
        <v>253</v>
      </c>
      <c r="E8">
        <f>'Q3'!$E$3</f>
        <v>690</v>
      </c>
    </row>
    <row r="9" spans="1:5" collapsed="1" x14ac:dyDescent="0.3">
      <c r="A9" s="8" t="s">
        <v>6</v>
      </c>
      <c r="B9" s="6">
        <f>SUM(B6:B8)</f>
        <v>1868</v>
      </c>
      <c r="C9" s="6">
        <f>SUM(C6:C8)</f>
        <v>976</v>
      </c>
      <c r="D9" s="6">
        <f>SUM(D6:D8)</f>
        <v>1196</v>
      </c>
      <c r="E9" s="6">
        <f>SUM(E6:E8)</f>
        <v>4040</v>
      </c>
    </row>
    <row r="10" spans="1:5" hidden="1" outlineLevel="1" x14ac:dyDescent="0.3">
      <c r="A10" s="7"/>
      <c r="B10">
        <f>'Q1'!$B$4</f>
        <v>207</v>
      </c>
      <c r="C10">
        <f>'Q1'!$C$4</f>
        <v>155</v>
      </c>
      <c r="D10">
        <f>'Q1'!$D$4</f>
        <v>152</v>
      </c>
      <c r="E10">
        <f>'Q1'!$E$4</f>
        <v>514</v>
      </c>
    </row>
    <row r="11" spans="1:5" hidden="1" outlineLevel="1" collapsed="1" x14ac:dyDescent="0.3">
      <c r="A11" s="7"/>
      <c r="B11">
        <f>'Q2'!$B$4</f>
        <v>327</v>
      </c>
      <c r="C11">
        <f>'Q2'!$C$4</f>
        <v>526</v>
      </c>
      <c r="D11">
        <f>'Q2'!$D$4</f>
        <v>291</v>
      </c>
      <c r="E11">
        <f>'Q2'!$E$4</f>
        <v>1144</v>
      </c>
    </row>
    <row r="12" spans="1:5" hidden="1" outlineLevel="1" collapsed="1" x14ac:dyDescent="0.3">
      <c r="A12" s="7"/>
      <c r="B12">
        <f>'Q3'!$B$4</f>
        <v>993</v>
      </c>
      <c r="C12">
        <f>'Q3'!$C$4</f>
        <v>322</v>
      </c>
      <c r="D12">
        <f>'Q3'!$D$4</f>
        <v>345</v>
      </c>
      <c r="E12">
        <f>'Q3'!$E$4</f>
        <v>1660</v>
      </c>
    </row>
    <row r="13" spans="1:5" collapsed="1" x14ac:dyDescent="0.3">
      <c r="A13" s="8" t="s">
        <v>7</v>
      </c>
      <c r="B13" s="6">
        <f>SUM(B10:B12)</f>
        <v>1527</v>
      </c>
      <c r="C13" s="6">
        <f>SUM(C10:C12)</f>
        <v>1003</v>
      </c>
      <c r="D13" s="6">
        <f>SUM(D10:D12)</f>
        <v>788</v>
      </c>
      <c r="E13" s="6">
        <f>SUM(E10:E12)</f>
        <v>3318</v>
      </c>
    </row>
    <row r="14" spans="1:5" hidden="1" outlineLevel="1" x14ac:dyDescent="0.3">
      <c r="A14" s="7"/>
      <c r="B14">
        <f>'Q1'!$B$5</f>
        <v>692</v>
      </c>
      <c r="C14">
        <f>'Q1'!$C$5</f>
        <v>219</v>
      </c>
      <c r="D14">
        <f>'Q1'!$D$5</f>
        <v>646</v>
      </c>
      <c r="E14">
        <f>'Q1'!$E$5</f>
        <v>1557</v>
      </c>
    </row>
    <row r="15" spans="1:5" hidden="1" outlineLevel="1" collapsed="1" x14ac:dyDescent="0.3">
      <c r="A15" s="7"/>
      <c r="B15">
        <f>'Q2'!$B$5</f>
        <v>644</v>
      </c>
      <c r="C15">
        <f>'Q2'!$C$5</f>
        <v>525</v>
      </c>
      <c r="D15">
        <f>'Q2'!$D$5</f>
        <v>867</v>
      </c>
      <c r="E15">
        <f>'Q2'!$E$5</f>
        <v>2036</v>
      </c>
    </row>
    <row r="16" spans="1:5" hidden="1" outlineLevel="1" collapsed="1" x14ac:dyDescent="0.3">
      <c r="A16" s="7"/>
      <c r="B16">
        <f>'Q3'!$B$5</f>
        <v>608</v>
      </c>
      <c r="C16">
        <f>'Q3'!$C$5</f>
        <v>247</v>
      </c>
      <c r="D16">
        <f>'Q3'!$D$5</f>
        <v>602</v>
      </c>
      <c r="E16">
        <f>'Q3'!$E$5</f>
        <v>1457</v>
      </c>
    </row>
    <row r="17" spans="1:5" collapsed="1" x14ac:dyDescent="0.3">
      <c r="A17" s="8" t="s">
        <v>8</v>
      </c>
      <c r="B17" s="6">
        <f>SUM(B14:B16)</f>
        <v>1944</v>
      </c>
      <c r="C17" s="6">
        <f>SUM(C14:C16)</f>
        <v>991</v>
      </c>
      <c r="D17" s="6">
        <f>SUM(D14:D16)</f>
        <v>2115</v>
      </c>
      <c r="E17" s="6">
        <f>SUM(E14:E16)</f>
        <v>5050</v>
      </c>
    </row>
    <row r="18" spans="1:5" hidden="1" outlineLevel="1" x14ac:dyDescent="0.3">
      <c r="A18" s="7"/>
      <c r="B18">
        <f>'Q1'!$B$6</f>
        <v>207</v>
      </c>
      <c r="C18">
        <f>'Q1'!$C$6</f>
        <v>822</v>
      </c>
      <c r="D18">
        <f>'Q1'!$D$6</f>
        <v>395</v>
      </c>
      <c r="E18">
        <f>'Q1'!$E$6</f>
        <v>1424</v>
      </c>
    </row>
    <row r="19" spans="1:5" hidden="1" outlineLevel="1" collapsed="1" x14ac:dyDescent="0.3">
      <c r="A19" s="7"/>
      <c r="B19">
        <f>'Q2'!$B$6</f>
        <v>975</v>
      </c>
      <c r="C19">
        <f>'Q2'!$C$6</f>
        <v>537</v>
      </c>
      <c r="D19">
        <f>'Q2'!$D$6</f>
        <v>210</v>
      </c>
      <c r="E19">
        <f>'Q2'!$E$6</f>
        <v>1722</v>
      </c>
    </row>
    <row r="20" spans="1:5" hidden="1" outlineLevel="1" collapsed="1" x14ac:dyDescent="0.3">
      <c r="A20" s="7"/>
      <c r="B20">
        <f>'Q3'!$B$6</f>
        <v>690</v>
      </c>
      <c r="C20">
        <f>'Q3'!$C$6</f>
        <v>651</v>
      </c>
      <c r="D20">
        <f>'Q3'!$D$6</f>
        <v>728</v>
      </c>
      <c r="E20">
        <f>'Q3'!$E$6</f>
        <v>2069</v>
      </c>
    </row>
    <row r="21" spans="1:5" collapsed="1" x14ac:dyDescent="0.3">
      <c r="A21" s="8" t="s">
        <v>9</v>
      </c>
      <c r="B21" s="6">
        <f>SUM(B18:B20)</f>
        <v>1872</v>
      </c>
      <c r="C21" s="6">
        <f>SUM(C18:C20)</f>
        <v>2010</v>
      </c>
      <c r="D21" s="6">
        <f>SUM(D18:D20)</f>
        <v>1333</v>
      </c>
      <c r="E21" s="6">
        <f>SUM(E18:E20)</f>
        <v>5215</v>
      </c>
    </row>
    <row r="22" spans="1:5" hidden="1" outlineLevel="1" x14ac:dyDescent="0.3">
      <c r="A22" s="7"/>
      <c r="B22">
        <f>'Q1'!$B$7</f>
        <v>759</v>
      </c>
      <c r="C22">
        <f>'Q1'!$C$7</f>
        <v>652</v>
      </c>
      <c r="D22">
        <f>'Q1'!$D$7</f>
        <v>447</v>
      </c>
      <c r="E22">
        <f>'Q1'!$E$7</f>
        <v>1858</v>
      </c>
    </row>
    <row r="23" spans="1:5" hidden="1" outlineLevel="1" collapsed="1" x14ac:dyDescent="0.3">
      <c r="A23" s="7"/>
      <c r="B23">
        <f>'Q2'!$B$7</f>
        <v>306</v>
      </c>
      <c r="C23">
        <f>'Q2'!$C$7</f>
        <v>694</v>
      </c>
      <c r="D23">
        <f>'Q2'!$D$7</f>
        <v>336</v>
      </c>
      <c r="E23">
        <f>'Q2'!$E$7</f>
        <v>1336</v>
      </c>
    </row>
    <row r="24" spans="1:5" hidden="1" outlineLevel="1" collapsed="1" x14ac:dyDescent="0.3">
      <c r="A24" s="7"/>
      <c r="B24">
        <f>'Q3'!$B$7</f>
        <v>670</v>
      </c>
      <c r="C24">
        <f>'Q3'!$C$7</f>
        <v>590</v>
      </c>
      <c r="D24">
        <f>'Q3'!$D$7</f>
        <v>343</v>
      </c>
      <c r="E24">
        <f>'Q3'!$E$7</f>
        <v>1603</v>
      </c>
    </row>
    <row r="25" spans="1:5" collapsed="1" x14ac:dyDescent="0.3">
      <c r="A25" s="8" t="s">
        <v>10</v>
      </c>
      <c r="B25" s="6">
        <f>SUM(B22:B24)</f>
        <v>1735</v>
      </c>
      <c r="C25" s="6">
        <f>SUM(C22:C24)</f>
        <v>1936</v>
      </c>
      <c r="D25" s="6">
        <f>SUM(D22:D24)</f>
        <v>1126</v>
      </c>
      <c r="E25" s="6">
        <f>SUM(E22:E24)</f>
        <v>4797</v>
      </c>
    </row>
    <row r="26" spans="1:5" hidden="1" outlineLevel="1" x14ac:dyDescent="0.3">
      <c r="A26" s="7"/>
      <c r="B26">
        <f>'Q1'!$B$8</f>
        <v>447</v>
      </c>
      <c r="C26">
        <f>'Q1'!$C$8</f>
        <v>623</v>
      </c>
      <c r="D26">
        <f>'Q1'!$D$8</f>
        <v>579</v>
      </c>
      <c r="E26">
        <f>'Q1'!$E$8</f>
        <v>1649</v>
      </c>
    </row>
    <row r="27" spans="1:5" hidden="1" outlineLevel="1" collapsed="1" x14ac:dyDescent="0.3">
      <c r="A27" s="7"/>
      <c r="B27">
        <f>'Q2'!$B$8</f>
        <v>811</v>
      </c>
      <c r="C27">
        <f>'Q2'!$C$8</f>
        <v>181</v>
      </c>
      <c r="D27">
        <f>'Q2'!$D$8</f>
        <v>610</v>
      </c>
      <c r="E27">
        <f>'Q2'!$E$8</f>
        <v>1602</v>
      </c>
    </row>
    <row r="28" spans="1:5" hidden="1" outlineLevel="1" collapsed="1" x14ac:dyDescent="0.3">
      <c r="A28" s="7"/>
      <c r="B28">
        <f>'Q3'!$B$8</f>
        <v>529</v>
      </c>
      <c r="C28">
        <f>'Q3'!$C$8</f>
        <v>551</v>
      </c>
      <c r="D28">
        <f>'Q3'!$D$8</f>
        <v>839</v>
      </c>
      <c r="E28">
        <f>'Q3'!$E$8</f>
        <v>1919</v>
      </c>
    </row>
    <row r="29" spans="1:5" collapsed="1" x14ac:dyDescent="0.3">
      <c r="A29" s="8" t="s">
        <v>11</v>
      </c>
      <c r="B29" s="6">
        <f>SUM(B26:B28)</f>
        <v>1787</v>
      </c>
      <c r="C29" s="6">
        <f>SUM(C26:C28)</f>
        <v>1355</v>
      </c>
      <c r="D29" s="6">
        <f>SUM(D26:D28)</f>
        <v>2028</v>
      </c>
      <c r="E29" s="6">
        <f>SUM(E26:E28)</f>
        <v>5170</v>
      </c>
    </row>
    <row r="30" spans="1:5" hidden="1" outlineLevel="1" x14ac:dyDescent="0.3">
      <c r="A30" s="7"/>
      <c r="B30">
        <f>'Q1'!$B$9</f>
        <v>195</v>
      </c>
      <c r="C30">
        <f>'Q1'!$C$9</f>
        <v>554</v>
      </c>
      <c r="D30">
        <f>'Q1'!$D$9</f>
        <v>727</v>
      </c>
      <c r="E30">
        <f>'Q1'!$E$9</f>
        <v>1476</v>
      </c>
    </row>
    <row r="31" spans="1:5" hidden="1" outlineLevel="1" collapsed="1" x14ac:dyDescent="0.3">
      <c r="A31" s="7"/>
      <c r="B31">
        <f>'Q2'!$B$9</f>
        <v>253</v>
      </c>
      <c r="C31">
        <f>'Q2'!$C$9</f>
        <v>964</v>
      </c>
      <c r="D31">
        <f>'Q2'!$D$9</f>
        <v>637</v>
      </c>
      <c r="E31">
        <f>'Q2'!$E$9</f>
        <v>1854</v>
      </c>
    </row>
    <row r="32" spans="1:5" hidden="1" outlineLevel="1" collapsed="1" x14ac:dyDescent="0.3">
      <c r="A32" s="7"/>
      <c r="B32">
        <f>'Q3'!$B$9</f>
        <v>997</v>
      </c>
      <c r="C32">
        <f>'Q3'!$C$9</f>
        <v>706</v>
      </c>
      <c r="D32">
        <f>'Q3'!$D$9</f>
        <v>860</v>
      </c>
      <c r="E32">
        <f>'Q3'!$E$9</f>
        <v>2563</v>
      </c>
    </row>
    <row r="33" spans="1:5" collapsed="1" x14ac:dyDescent="0.3">
      <c r="A33" s="8" t="s">
        <v>12</v>
      </c>
      <c r="B33" s="6">
        <f>SUM(B30:B32)</f>
        <v>1445</v>
      </c>
      <c r="C33" s="6">
        <f>SUM(C30:C32)</f>
        <v>2224</v>
      </c>
      <c r="D33" s="6">
        <f>SUM(D30:D32)</f>
        <v>2224</v>
      </c>
      <c r="E33" s="6">
        <f>SUM(E30:E32)</f>
        <v>5893</v>
      </c>
    </row>
    <row r="34" spans="1:5" hidden="1" outlineLevel="1" x14ac:dyDescent="0.3">
      <c r="A34" s="7"/>
      <c r="B34">
        <f>'Q1'!$B$10</f>
        <v>211</v>
      </c>
      <c r="C34">
        <f>'Q1'!$C$10</f>
        <v>850</v>
      </c>
      <c r="D34">
        <f>'Q1'!$D$10</f>
        <v>799</v>
      </c>
      <c r="E34">
        <f>'Q1'!$E$10</f>
        <v>1860</v>
      </c>
    </row>
    <row r="35" spans="1:5" hidden="1" outlineLevel="1" collapsed="1" x14ac:dyDescent="0.3">
      <c r="A35" s="7"/>
      <c r="B35">
        <f>'Q2'!$B$10</f>
        <v>936</v>
      </c>
      <c r="C35">
        <f>'Q2'!$C$10</f>
        <v>986</v>
      </c>
      <c r="D35">
        <f>'Q2'!$D$10</f>
        <v>252</v>
      </c>
      <c r="E35">
        <f>'Q2'!$E$10</f>
        <v>2174</v>
      </c>
    </row>
    <row r="36" spans="1:5" hidden="1" outlineLevel="1" collapsed="1" x14ac:dyDescent="0.3">
      <c r="A36" s="7"/>
      <c r="B36">
        <f>'Q3'!$B$10</f>
        <v>621</v>
      </c>
      <c r="C36">
        <f>'Q3'!$C$10</f>
        <v>523</v>
      </c>
      <c r="D36">
        <f>'Q3'!$D$10</f>
        <v>780</v>
      </c>
      <c r="E36">
        <f>'Q3'!$E$10</f>
        <v>1924</v>
      </c>
    </row>
    <row r="37" spans="1:5" collapsed="1" x14ac:dyDescent="0.3">
      <c r="A37" s="8" t="s">
        <v>13</v>
      </c>
      <c r="B37" s="6">
        <f>SUM(B34:B36)</f>
        <v>1768</v>
      </c>
      <c r="C37" s="6">
        <f>SUM(C34:C36)</f>
        <v>2359</v>
      </c>
      <c r="D37" s="6">
        <f>SUM(D34:D36)</f>
        <v>1831</v>
      </c>
      <c r="E37" s="6">
        <f>SUM(E34:E36)</f>
        <v>5958</v>
      </c>
    </row>
    <row r="38" spans="1:5" hidden="1" outlineLevel="1" x14ac:dyDescent="0.3">
      <c r="A38" s="7"/>
      <c r="B38">
        <f>'Q1'!$B$11</f>
        <v>3695</v>
      </c>
      <c r="C38">
        <f>'Q1'!$C$11</f>
        <v>5005</v>
      </c>
      <c r="D38">
        <f>'Q1'!$D$11</f>
        <v>4731</v>
      </c>
      <c r="E38">
        <f>'Q1'!$E$11</f>
        <v>13431</v>
      </c>
    </row>
    <row r="39" spans="1:5" hidden="1" outlineLevel="1" collapsed="1" x14ac:dyDescent="0.3">
      <c r="A39" s="7"/>
      <c r="B39">
        <f>'Q2'!$B$11</f>
        <v>5700</v>
      </c>
      <c r="C39">
        <f>'Q2'!$C$11</f>
        <v>5454</v>
      </c>
      <c r="D39">
        <f>'Q2'!$D$11</f>
        <v>3853</v>
      </c>
      <c r="E39">
        <f>'Q2'!$E$11</f>
        <v>15007</v>
      </c>
    </row>
    <row r="40" spans="1:5" hidden="1" outlineLevel="1" collapsed="1" x14ac:dyDescent="0.3">
      <c r="A40" s="7"/>
      <c r="B40">
        <f>'Q3'!$B$11</f>
        <v>6257</v>
      </c>
      <c r="C40">
        <f>'Q3'!$C$11</f>
        <v>3955</v>
      </c>
      <c r="D40">
        <f>'Q3'!$D$11</f>
        <v>4867</v>
      </c>
      <c r="E40">
        <f>'Q3'!$E$11</f>
        <v>15079</v>
      </c>
    </row>
    <row r="41" spans="1:5" ht="15" collapsed="1" thickBot="1" x14ac:dyDescent="0.35">
      <c r="A41" s="10" t="s">
        <v>4</v>
      </c>
      <c r="B41" s="11">
        <f>SUM(B38:B40)</f>
        <v>15652</v>
      </c>
      <c r="C41" s="11">
        <f>SUM(C38:C40)</f>
        <v>14414</v>
      </c>
      <c r="D41" s="11">
        <f>SUM(D38:D40)</f>
        <v>13451</v>
      </c>
      <c r="E41" s="11">
        <f>SUM(E38:E40)</f>
        <v>43517</v>
      </c>
    </row>
  </sheetData>
  <dataConsolidate topLabels="1" link="1">
    <dataRefs count="3">
      <dataRef ref="A1:E11" sheet="Q1"/>
      <dataRef ref="A1:E11" sheet="Q2"/>
      <dataRef ref="A1:E11" sheet="Q3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E811-7B7C-4620-967E-E577869B9D8C}">
  <dimension ref="A1:E41"/>
  <sheetViews>
    <sheetView workbookViewId="0">
      <selection activeCell="H55" sqref="H55"/>
    </sheetView>
  </sheetViews>
  <sheetFormatPr defaultRowHeight="14.4" outlineLevelRow="1" x14ac:dyDescent="0.3"/>
  <cols>
    <col min="1" max="1" width="12" bestFit="1" customWidth="1"/>
    <col min="2" max="4" width="5" bestFit="1" customWidth="1"/>
    <col min="5" max="5" width="6" bestFit="1" customWidth="1"/>
  </cols>
  <sheetData>
    <row r="1" spans="1:5" ht="15" thickBot="1" x14ac:dyDescent="0.35">
      <c r="A1" s="14"/>
      <c r="B1" s="19" t="s">
        <v>1</v>
      </c>
      <c r="C1" s="19" t="s">
        <v>2</v>
      </c>
      <c r="D1" s="19" t="s">
        <v>3</v>
      </c>
      <c r="E1" s="20" t="s">
        <v>4</v>
      </c>
    </row>
    <row r="2" spans="1:5" ht="15" hidden="1" outlineLevel="1" thickBot="1" x14ac:dyDescent="0.35">
      <c r="A2" s="15"/>
      <c r="B2" s="12">
        <f>'Q1'!$B$2</f>
        <v>322</v>
      </c>
      <c r="C2" s="12">
        <f>'Q1'!$C$2</f>
        <v>554</v>
      </c>
      <c r="D2" s="12">
        <f>'Q1'!$D$2</f>
        <v>299</v>
      </c>
      <c r="E2" s="13">
        <f>'Q1'!$E$2</f>
        <v>1175</v>
      </c>
    </row>
    <row r="3" spans="1:5" ht="15" hidden="1" outlineLevel="1" collapsed="1" thickBot="1" x14ac:dyDescent="0.35">
      <c r="A3" s="15"/>
      <c r="B3" s="12">
        <f>'Q2'!$B$2</f>
        <v>514</v>
      </c>
      <c r="C3" s="12">
        <f>'Q2'!$C$2</f>
        <v>799</v>
      </c>
      <c r="D3" s="12">
        <f>'Q2'!$D$2</f>
        <v>394</v>
      </c>
      <c r="E3" s="13">
        <f>'Q2'!$E$2</f>
        <v>1707</v>
      </c>
    </row>
    <row r="4" spans="1:5" ht="15" hidden="1" outlineLevel="1" collapsed="1" thickBot="1" x14ac:dyDescent="0.35">
      <c r="A4" s="15"/>
      <c r="B4" s="12">
        <f>'Q3'!$B$2</f>
        <v>870</v>
      </c>
      <c r="C4" s="12">
        <f>'Q3'!$C$2</f>
        <v>207</v>
      </c>
      <c r="D4" s="12">
        <f>'Q3'!$D$2</f>
        <v>117</v>
      </c>
      <c r="E4" s="13">
        <f>'Q3'!$E$2</f>
        <v>1194</v>
      </c>
    </row>
    <row r="5" spans="1:5" ht="15" collapsed="1" thickBot="1" x14ac:dyDescent="0.35">
      <c r="A5" s="18" t="s">
        <v>5</v>
      </c>
      <c r="B5" s="16">
        <f>MAX(B2:B4)</f>
        <v>870</v>
      </c>
      <c r="C5" s="16">
        <f>MAX(C2:C4)</f>
        <v>799</v>
      </c>
      <c r="D5" s="16">
        <f>MAX(D2:D4)</f>
        <v>394</v>
      </c>
      <c r="E5" s="17">
        <f>MAX(E2:E4)</f>
        <v>1707</v>
      </c>
    </row>
    <row r="6" spans="1:5" ht="15" hidden="1" outlineLevel="1" thickBot="1" x14ac:dyDescent="0.35">
      <c r="A6" s="15"/>
      <c r="B6" s="12">
        <f>'Q1'!$B$3</f>
        <v>655</v>
      </c>
      <c r="C6" s="12">
        <f>'Q1'!$C$3</f>
        <v>576</v>
      </c>
      <c r="D6" s="12">
        <f>'Q1'!$D$3</f>
        <v>687</v>
      </c>
      <c r="E6" s="13">
        <f>'Q1'!$E$3</f>
        <v>1918</v>
      </c>
    </row>
    <row r="7" spans="1:5" ht="15" hidden="1" outlineLevel="1" collapsed="1" thickBot="1" x14ac:dyDescent="0.35">
      <c r="A7" s="15"/>
      <c r="B7" s="12">
        <f>'Q2'!$B$3</f>
        <v>934</v>
      </c>
      <c r="C7" s="12">
        <f>'Q2'!$C$3</f>
        <v>242</v>
      </c>
      <c r="D7" s="12">
        <f>'Q2'!$D$3</f>
        <v>256</v>
      </c>
      <c r="E7" s="13">
        <f>'Q2'!$E$3</f>
        <v>1432</v>
      </c>
    </row>
    <row r="8" spans="1:5" ht="15" hidden="1" outlineLevel="1" collapsed="1" thickBot="1" x14ac:dyDescent="0.35">
      <c r="A8" s="15"/>
      <c r="B8" s="12">
        <f>'Q3'!$B$3</f>
        <v>279</v>
      </c>
      <c r="C8" s="12">
        <f>'Q3'!$C$3</f>
        <v>158</v>
      </c>
      <c r="D8" s="12">
        <f>'Q3'!$D$3</f>
        <v>253</v>
      </c>
      <c r="E8" s="13">
        <f>'Q3'!$E$3</f>
        <v>690</v>
      </c>
    </row>
    <row r="9" spans="1:5" ht="15" collapsed="1" thickBot="1" x14ac:dyDescent="0.35">
      <c r="A9" s="18" t="s">
        <v>6</v>
      </c>
      <c r="B9" s="16">
        <f>MAX(B6:B8)</f>
        <v>934</v>
      </c>
      <c r="C9" s="16">
        <f>MAX(C6:C8)</f>
        <v>576</v>
      </c>
      <c r="D9" s="16">
        <f>MAX(D6:D8)</f>
        <v>687</v>
      </c>
      <c r="E9" s="17">
        <f>MAX(E6:E8)</f>
        <v>1918</v>
      </c>
    </row>
    <row r="10" spans="1:5" ht="15" hidden="1" outlineLevel="1" thickBot="1" x14ac:dyDescent="0.35">
      <c r="A10" s="15"/>
      <c r="B10" s="12">
        <f>'Q1'!$B$4</f>
        <v>207</v>
      </c>
      <c r="C10" s="12">
        <f>'Q1'!$C$4</f>
        <v>155</v>
      </c>
      <c r="D10" s="12">
        <f>'Q1'!$D$4</f>
        <v>152</v>
      </c>
      <c r="E10" s="13">
        <f>'Q1'!$E$4</f>
        <v>514</v>
      </c>
    </row>
    <row r="11" spans="1:5" ht="15" hidden="1" outlineLevel="1" collapsed="1" thickBot="1" x14ac:dyDescent="0.35">
      <c r="A11" s="15"/>
      <c r="B11" s="12">
        <f>'Q2'!$B$4</f>
        <v>327</v>
      </c>
      <c r="C11" s="12">
        <f>'Q2'!$C$4</f>
        <v>526</v>
      </c>
      <c r="D11" s="12">
        <f>'Q2'!$D$4</f>
        <v>291</v>
      </c>
      <c r="E11" s="13">
        <f>'Q2'!$E$4</f>
        <v>1144</v>
      </c>
    </row>
    <row r="12" spans="1:5" ht="15" hidden="1" outlineLevel="1" collapsed="1" thickBot="1" x14ac:dyDescent="0.35">
      <c r="A12" s="15"/>
      <c r="B12" s="12">
        <f>'Q3'!$B$4</f>
        <v>993</v>
      </c>
      <c r="C12" s="12">
        <f>'Q3'!$C$4</f>
        <v>322</v>
      </c>
      <c r="D12" s="12">
        <f>'Q3'!$D$4</f>
        <v>345</v>
      </c>
      <c r="E12" s="13">
        <f>'Q3'!$E$4</f>
        <v>1660</v>
      </c>
    </row>
    <row r="13" spans="1:5" ht="15" collapsed="1" thickBot="1" x14ac:dyDescent="0.35">
      <c r="A13" s="18" t="s">
        <v>7</v>
      </c>
      <c r="B13" s="16">
        <f>MAX(B10:B12)</f>
        <v>993</v>
      </c>
      <c r="C13" s="16">
        <f>MAX(C10:C12)</f>
        <v>526</v>
      </c>
      <c r="D13" s="16">
        <f>MAX(D10:D12)</f>
        <v>345</v>
      </c>
      <c r="E13" s="17">
        <f>MAX(E10:E12)</f>
        <v>1660</v>
      </c>
    </row>
    <row r="14" spans="1:5" ht="15" hidden="1" outlineLevel="1" thickBot="1" x14ac:dyDescent="0.35">
      <c r="A14" s="15"/>
      <c r="B14" s="12">
        <f>'Q1'!$B$5</f>
        <v>692</v>
      </c>
      <c r="C14" s="12">
        <f>'Q1'!$C$5</f>
        <v>219</v>
      </c>
      <c r="D14" s="12">
        <f>'Q1'!$D$5</f>
        <v>646</v>
      </c>
      <c r="E14" s="13">
        <f>'Q1'!$E$5</f>
        <v>1557</v>
      </c>
    </row>
    <row r="15" spans="1:5" ht="15" hidden="1" outlineLevel="1" collapsed="1" thickBot="1" x14ac:dyDescent="0.35">
      <c r="A15" s="15"/>
      <c r="B15" s="12">
        <f>'Q2'!$B$5</f>
        <v>644</v>
      </c>
      <c r="C15" s="12">
        <f>'Q2'!$C$5</f>
        <v>525</v>
      </c>
      <c r="D15" s="12">
        <f>'Q2'!$D$5</f>
        <v>867</v>
      </c>
      <c r="E15" s="13">
        <f>'Q2'!$E$5</f>
        <v>2036</v>
      </c>
    </row>
    <row r="16" spans="1:5" ht="15" hidden="1" outlineLevel="1" collapsed="1" thickBot="1" x14ac:dyDescent="0.35">
      <c r="A16" s="15"/>
      <c r="B16" s="12">
        <f>'Q3'!$B$5</f>
        <v>608</v>
      </c>
      <c r="C16" s="12">
        <f>'Q3'!$C$5</f>
        <v>247</v>
      </c>
      <c r="D16" s="12">
        <f>'Q3'!$D$5</f>
        <v>602</v>
      </c>
      <c r="E16" s="13">
        <f>'Q3'!$E$5</f>
        <v>1457</v>
      </c>
    </row>
    <row r="17" spans="1:5" ht="15" collapsed="1" thickBot="1" x14ac:dyDescent="0.35">
      <c r="A17" s="18" t="s">
        <v>8</v>
      </c>
      <c r="B17" s="16">
        <f>MAX(B14:B16)</f>
        <v>692</v>
      </c>
      <c r="C17" s="16">
        <f>MAX(C14:C16)</f>
        <v>525</v>
      </c>
      <c r="D17" s="16">
        <f>MAX(D14:D16)</f>
        <v>867</v>
      </c>
      <c r="E17" s="17">
        <f>MAX(E14:E16)</f>
        <v>2036</v>
      </c>
    </row>
    <row r="18" spans="1:5" ht="15" hidden="1" outlineLevel="1" thickBot="1" x14ac:dyDescent="0.35">
      <c r="A18" s="15"/>
      <c r="B18" s="12">
        <f>'Q1'!$B$6</f>
        <v>207</v>
      </c>
      <c r="C18" s="12">
        <f>'Q1'!$C$6</f>
        <v>822</v>
      </c>
      <c r="D18" s="12">
        <f>'Q1'!$D$6</f>
        <v>395</v>
      </c>
      <c r="E18" s="13">
        <f>'Q1'!$E$6</f>
        <v>1424</v>
      </c>
    </row>
    <row r="19" spans="1:5" ht="15" hidden="1" outlineLevel="1" collapsed="1" thickBot="1" x14ac:dyDescent="0.35">
      <c r="A19" s="15"/>
      <c r="B19" s="12">
        <f>'Q2'!$B$6</f>
        <v>975</v>
      </c>
      <c r="C19" s="12">
        <f>'Q2'!$C$6</f>
        <v>537</v>
      </c>
      <c r="D19" s="12">
        <f>'Q2'!$D$6</f>
        <v>210</v>
      </c>
      <c r="E19" s="13">
        <f>'Q2'!$E$6</f>
        <v>1722</v>
      </c>
    </row>
    <row r="20" spans="1:5" ht="15" hidden="1" outlineLevel="1" collapsed="1" thickBot="1" x14ac:dyDescent="0.35">
      <c r="A20" s="15"/>
      <c r="B20" s="12">
        <f>'Q3'!$B$6</f>
        <v>690</v>
      </c>
      <c r="C20" s="12">
        <f>'Q3'!$C$6</f>
        <v>651</v>
      </c>
      <c r="D20" s="12">
        <f>'Q3'!$D$6</f>
        <v>728</v>
      </c>
      <c r="E20" s="13">
        <f>'Q3'!$E$6</f>
        <v>2069</v>
      </c>
    </row>
    <row r="21" spans="1:5" ht="15" collapsed="1" thickBot="1" x14ac:dyDescent="0.35">
      <c r="A21" s="18" t="s">
        <v>9</v>
      </c>
      <c r="B21" s="16">
        <f>MAX(B18:B20)</f>
        <v>975</v>
      </c>
      <c r="C21" s="16">
        <f>MAX(C18:C20)</f>
        <v>822</v>
      </c>
      <c r="D21" s="16">
        <f>MAX(D18:D20)</f>
        <v>728</v>
      </c>
      <c r="E21" s="17">
        <f>MAX(E18:E20)</f>
        <v>2069</v>
      </c>
    </row>
    <row r="22" spans="1:5" ht="15" hidden="1" outlineLevel="1" thickBot="1" x14ac:dyDescent="0.35">
      <c r="A22" s="15"/>
      <c r="B22" s="12">
        <f>'Q1'!$B$7</f>
        <v>759</v>
      </c>
      <c r="C22" s="12">
        <f>'Q1'!$C$7</f>
        <v>652</v>
      </c>
      <c r="D22" s="12">
        <f>'Q1'!$D$7</f>
        <v>447</v>
      </c>
      <c r="E22" s="13">
        <f>'Q1'!$E$7</f>
        <v>1858</v>
      </c>
    </row>
    <row r="23" spans="1:5" ht="15" hidden="1" outlineLevel="1" collapsed="1" thickBot="1" x14ac:dyDescent="0.35">
      <c r="A23" s="15"/>
      <c r="B23" s="12">
        <f>'Q2'!$B$7</f>
        <v>306</v>
      </c>
      <c r="C23" s="12">
        <f>'Q2'!$C$7</f>
        <v>694</v>
      </c>
      <c r="D23" s="12">
        <f>'Q2'!$D$7</f>
        <v>336</v>
      </c>
      <c r="E23" s="13">
        <f>'Q2'!$E$7</f>
        <v>1336</v>
      </c>
    </row>
    <row r="24" spans="1:5" ht="15" hidden="1" outlineLevel="1" collapsed="1" thickBot="1" x14ac:dyDescent="0.35">
      <c r="A24" s="15"/>
      <c r="B24" s="12">
        <f>'Q3'!$B$7</f>
        <v>670</v>
      </c>
      <c r="C24" s="12">
        <f>'Q3'!$C$7</f>
        <v>590</v>
      </c>
      <c r="D24" s="12">
        <f>'Q3'!$D$7</f>
        <v>343</v>
      </c>
      <c r="E24" s="13">
        <f>'Q3'!$E$7</f>
        <v>1603</v>
      </c>
    </row>
    <row r="25" spans="1:5" ht="15" collapsed="1" thickBot="1" x14ac:dyDescent="0.35">
      <c r="A25" s="18" t="s">
        <v>10</v>
      </c>
      <c r="B25" s="16">
        <f>MAX(B22:B24)</f>
        <v>759</v>
      </c>
      <c r="C25" s="16">
        <f>MAX(C22:C24)</f>
        <v>694</v>
      </c>
      <c r="D25" s="16">
        <f>MAX(D22:D24)</f>
        <v>447</v>
      </c>
      <c r="E25" s="17">
        <f>MAX(E22:E24)</f>
        <v>1858</v>
      </c>
    </row>
    <row r="26" spans="1:5" ht="15" hidden="1" outlineLevel="1" thickBot="1" x14ac:dyDescent="0.35">
      <c r="A26" s="15"/>
      <c r="B26" s="12">
        <f>'Q1'!$B$8</f>
        <v>447</v>
      </c>
      <c r="C26" s="12">
        <f>'Q1'!$C$8</f>
        <v>623</v>
      </c>
      <c r="D26" s="12">
        <f>'Q1'!$D$8</f>
        <v>579</v>
      </c>
      <c r="E26" s="13">
        <f>'Q1'!$E$8</f>
        <v>1649</v>
      </c>
    </row>
    <row r="27" spans="1:5" ht="15" hidden="1" outlineLevel="1" collapsed="1" thickBot="1" x14ac:dyDescent="0.35">
      <c r="A27" s="15"/>
      <c r="B27" s="12">
        <f>'Q2'!$B$8</f>
        <v>811</v>
      </c>
      <c r="C27" s="12">
        <f>'Q2'!$C$8</f>
        <v>181</v>
      </c>
      <c r="D27" s="12">
        <f>'Q2'!$D$8</f>
        <v>610</v>
      </c>
      <c r="E27" s="13">
        <f>'Q2'!$E$8</f>
        <v>1602</v>
      </c>
    </row>
    <row r="28" spans="1:5" ht="15" hidden="1" outlineLevel="1" collapsed="1" thickBot="1" x14ac:dyDescent="0.35">
      <c r="A28" s="15"/>
      <c r="B28" s="12">
        <f>'Q3'!$B$8</f>
        <v>529</v>
      </c>
      <c r="C28" s="12">
        <f>'Q3'!$C$8</f>
        <v>551</v>
      </c>
      <c r="D28" s="12">
        <f>'Q3'!$D$8</f>
        <v>839</v>
      </c>
      <c r="E28" s="13">
        <f>'Q3'!$E$8</f>
        <v>1919</v>
      </c>
    </row>
    <row r="29" spans="1:5" ht="15" collapsed="1" thickBot="1" x14ac:dyDescent="0.35">
      <c r="A29" s="18" t="s">
        <v>11</v>
      </c>
      <c r="B29" s="16">
        <f>MAX(B26:B28)</f>
        <v>811</v>
      </c>
      <c r="C29" s="16">
        <f>MAX(C26:C28)</f>
        <v>623</v>
      </c>
      <c r="D29" s="16">
        <f>MAX(D26:D28)</f>
        <v>839</v>
      </c>
      <c r="E29" s="17">
        <f>MAX(E26:E28)</f>
        <v>1919</v>
      </c>
    </row>
    <row r="30" spans="1:5" ht="15" hidden="1" outlineLevel="1" thickBot="1" x14ac:dyDescent="0.35">
      <c r="A30" s="15"/>
      <c r="B30" s="12">
        <f>'Q1'!$B$9</f>
        <v>195</v>
      </c>
      <c r="C30" s="12">
        <f>'Q1'!$C$9</f>
        <v>554</v>
      </c>
      <c r="D30" s="12">
        <f>'Q1'!$D$9</f>
        <v>727</v>
      </c>
      <c r="E30" s="13">
        <f>'Q1'!$E$9</f>
        <v>1476</v>
      </c>
    </row>
    <row r="31" spans="1:5" ht="15" hidden="1" outlineLevel="1" collapsed="1" thickBot="1" x14ac:dyDescent="0.35">
      <c r="A31" s="15"/>
      <c r="B31" s="12">
        <f>'Q2'!$B$9</f>
        <v>253</v>
      </c>
      <c r="C31" s="12">
        <f>'Q2'!$C$9</f>
        <v>964</v>
      </c>
      <c r="D31" s="12">
        <f>'Q2'!$D$9</f>
        <v>637</v>
      </c>
      <c r="E31" s="13">
        <f>'Q2'!$E$9</f>
        <v>1854</v>
      </c>
    </row>
    <row r="32" spans="1:5" ht="15" hidden="1" outlineLevel="1" collapsed="1" thickBot="1" x14ac:dyDescent="0.35">
      <c r="A32" s="15"/>
      <c r="B32" s="12">
        <f>'Q3'!$B$9</f>
        <v>997</v>
      </c>
      <c r="C32" s="12">
        <f>'Q3'!$C$9</f>
        <v>706</v>
      </c>
      <c r="D32" s="12">
        <f>'Q3'!$D$9</f>
        <v>860</v>
      </c>
      <c r="E32" s="13">
        <f>'Q3'!$E$9</f>
        <v>2563</v>
      </c>
    </row>
    <row r="33" spans="1:5" ht="15" collapsed="1" thickBot="1" x14ac:dyDescent="0.35">
      <c r="A33" s="18" t="s">
        <v>12</v>
      </c>
      <c r="B33" s="16">
        <f>MAX(B30:B32)</f>
        <v>997</v>
      </c>
      <c r="C33" s="16">
        <f>MAX(C30:C32)</f>
        <v>964</v>
      </c>
      <c r="D33" s="16">
        <f>MAX(D30:D32)</f>
        <v>860</v>
      </c>
      <c r="E33" s="17">
        <f>MAX(E30:E32)</f>
        <v>2563</v>
      </c>
    </row>
    <row r="34" spans="1:5" ht="15" hidden="1" outlineLevel="1" thickBot="1" x14ac:dyDescent="0.35">
      <c r="A34" s="15"/>
      <c r="B34" s="12">
        <f>'Q1'!$B$10</f>
        <v>211</v>
      </c>
      <c r="C34" s="12">
        <f>'Q1'!$C$10</f>
        <v>850</v>
      </c>
      <c r="D34" s="12">
        <f>'Q1'!$D$10</f>
        <v>799</v>
      </c>
      <c r="E34" s="13">
        <f>'Q1'!$E$10</f>
        <v>1860</v>
      </c>
    </row>
    <row r="35" spans="1:5" ht="15" hidden="1" outlineLevel="1" collapsed="1" thickBot="1" x14ac:dyDescent="0.35">
      <c r="A35" s="15"/>
      <c r="B35" s="12">
        <f>'Q2'!$B$10</f>
        <v>936</v>
      </c>
      <c r="C35" s="12">
        <f>'Q2'!$C$10</f>
        <v>986</v>
      </c>
      <c r="D35" s="12">
        <f>'Q2'!$D$10</f>
        <v>252</v>
      </c>
      <c r="E35" s="13">
        <f>'Q2'!$E$10</f>
        <v>2174</v>
      </c>
    </row>
    <row r="36" spans="1:5" ht="15" hidden="1" outlineLevel="1" collapsed="1" thickBot="1" x14ac:dyDescent="0.35">
      <c r="A36" s="15"/>
      <c r="B36" s="12">
        <f>'Q3'!$B$10</f>
        <v>621</v>
      </c>
      <c r="C36" s="12">
        <f>'Q3'!$C$10</f>
        <v>523</v>
      </c>
      <c r="D36" s="12">
        <f>'Q3'!$D$10</f>
        <v>780</v>
      </c>
      <c r="E36" s="13">
        <f>'Q3'!$E$10</f>
        <v>1924</v>
      </c>
    </row>
    <row r="37" spans="1:5" ht="15" collapsed="1" thickBot="1" x14ac:dyDescent="0.35">
      <c r="A37" s="18" t="s">
        <v>13</v>
      </c>
      <c r="B37" s="16">
        <f>MAX(B34:B36)</f>
        <v>936</v>
      </c>
      <c r="C37" s="16">
        <f>MAX(C34:C36)</f>
        <v>986</v>
      </c>
      <c r="D37" s="16">
        <f>MAX(D34:D36)</f>
        <v>799</v>
      </c>
      <c r="E37" s="17">
        <f>MAX(E34:E36)</f>
        <v>2174</v>
      </c>
    </row>
    <row r="38" spans="1:5" ht="15" hidden="1" outlineLevel="1" thickBot="1" x14ac:dyDescent="0.35">
      <c r="A38" s="15"/>
      <c r="B38" s="12">
        <f>'Q1'!$B$11</f>
        <v>3695</v>
      </c>
      <c r="C38" s="12">
        <f>'Q1'!$C$11</f>
        <v>5005</v>
      </c>
      <c r="D38" s="12">
        <f>'Q1'!$D$11</f>
        <v>4731</v>
      </c>
      <c r="E38" s="13">
        <f>'Q1'!$E$11</f>
        <v>13431</v>
      </c>
    </row>
    <row r="39" spans="1:5" ht="15" hidden="1" outlineLevel="1" collapsed="1" thickBot="1" x14ac:dyDescent="0.35">
      <c r="A39" s="15"/>
      <c r="B39" s="12">
        <f>'Q2'!$B$11</f>
        <v>5700</v>
      </c>
      <c r="C39" s="12">
        <f>'Q2'!$C$11</f>
        <v>5454</v>
      </c>
      <c r="D39" s="12">
        <f>'Q2'!$D$11</f>
        <v>3853</v>
      </c>
      <c r="E39" s="13">
        <f>'Q2'!$E$11</f>
        <v>15007</v>
      </c>
    </row>
    <row r="40" spans="1:5" ht="15" hidden="1" outlineLevel="1" collapsed="1" thickBot="1" x14ac:dyDescent="0.35">
      <c r="A40" s="15"/>
      <c r="B40" s="12">
        <f>'Q3'!$B$11</f>
        <v>6257</v>
      </c>
      <c r="C40" s="12">
        <f>'Q3'!$C$11</f>
        <v>3955</v>
      </c>
      <c r="D40" s="12">
        <f>'Q3'!$D$11</f>
        <v>4867</v>
      </c>
      <c r="E40" s="13">
        <f>'Q3'!$E$11</f>
        <v>15079</v>
      </c>
    </row>
    <row r="41" spans="1:5" ht="15" collapsed="1" thickBot="1" x14ac:dyDescent="0.35">
      <c r="A41" s="18" t="s">
        <v>4</v>
      </c>
      <c r="B41" s="16">
        <f>MAX(B38:B40)</f>
        <v>6257</v>
      </c>
      <c r="C41" s="16">
        <f>MAX(C38:C40)</f>
        <v>5454</v>
      </c>
      <c r="D41" s="16">
        <f>MAX(D38:D40)</f>
        <v>4867</v>
      </c>
      <c r="E41" s="17">
        <f>MAX(E38:E40)</f>
        <v>15079</v>
      </c>
    </row>
  </sheetData>
  <dataConsolidate function="max" topLabels="1" link="1">
    <dataRefs count="3">
      <dataRef ref="A1:E11" sheet="Q1"/>
      <dataRef ref="A1:E11" sheet="Q2"/>
      <dataRef ref="A1:E11" sheet="Q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SUM</vt:lpstr>
      <vt:lpstr>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rajput</dc:creator>
  <cp:lastModifiedBy>uma rajput</cp:lastModifiedBy>
  <dcterms:created xsi:type="dcterms:W3CDTF">2026-08-19T06:41:32Z</dcterms:created>
  <dcterms:modified xsi:type="dcterms:W3CDTF">2026-09-16T05:18:35Z</dcterms:modified>
</cp:coreProperties>
</file>