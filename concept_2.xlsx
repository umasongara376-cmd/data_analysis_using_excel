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0" documentId="8_{2AFCB12D-8DC2-4BA3-8D7D-E592092CDC4A}" xr6:coauthVersionLast="47" xr6:coauthVersionMax="47" xr10:uidLastSave="{00000000-0000-0000-0000-000000000000}"/>
  <bookViews>
    <workbookView xWindow="-108" yWindow="-108" windowWidth="23256" windowHeight="12456" activeTab="1" xr2:uid="{50E00C96-C988-4781-85E0-C6D0262201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 a="1"/>
  <c r="H7" i="2" s="1"/>
  <c r="H3" i="2" a="1"/>
  <c r="H3" i="2" s="1"/>
  <c r="H2" i="2"/>
  <c r="C13" i="1"/>
  <c r="L3" i="1" a="1"/>
  <c r="L3" i="1" s="1"/>
  <c r="D11" i="1"/>
  <c r="D3" i="1"/>
  <c r="D4" i="1"/>
  <c r="D5" i="1"/>
  <c r="D6" i="1"/>
  <c r="D7" i="1"/>
  <c r="D8" i="1"/>
  <c r="D9" i="1"/>
  <c r="D10" i="1"/>
  <c r="D2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<sst xmlns="http://schemas.openxmlformats.org/spreadsheetml/2006/main" count="52" uniqueCount="28">
  <si>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product</t>
  </si>
  <si>
    <t>coffee</t>
  </si>
  <si>
    <t>candy</t>
  </si>
  <si>
    <t>chocalate</t>
  </si>
  <si>
    <t>sugar</t>
  </si>
  <si>
    <t>milk powder</t>
  </si>
  <si>
    <t>biscuits</t>
  </si>
  <si>
    <t>cold drinks</t>
  </si>
  <si>
    <t>energy drinks</t>
  </si>
  <si>
    <t>fruits juice</t>
  </si>
  <si>
    <t>QTY</t>
  </si>
  <si>
    <t>RATE</t>
  </si>
  <si>
    <t>NET AMOUNT</t>
  </si>
  <si>
    <t>ans</t>
  </si>
  <si>
    <t>sumif</t>
  </si>
  <si>
    <t>sumproduct</t>
  </si>
  <si>
    <t>A</t>
  </si>
  <si>
    <t>B</t>
  </si>
  <si>
    <t>C</t>
  </si>
  <si>
    <t>price</t>
  </si>
  <si>
    <t xml:space="preserve">what is the sales amount </t>
  </si>
  <si>
    <t>what is the total sales of product A and C</t>
  </si>
  <si>
    <t>REGION</t>
  </si>
  <si>
    <t>PRODUCT</t>
  </si>
  <si>
    <t>PRICE</t>
  </si>
  <si>
    <t>SOUTH</t>
  </si>
  <si>
    <t>NORTH</t>
  </si>
  <si>
    <t>total sales for north region + product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</si>
</sst>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2" borderId="0" xfId="0" applyFill="1" applyBorder="1"/>
    <xf numFmtId="0" fontId="0" fillId="2" borderId="0" xfId="0" applyFill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3FD-E0CF-41CC-AAA9-58130DF816EB}">
  <dimension ref="A1:L13"/>
  <sheetViews>
    <sheetView workbookViewId="0">
      <selection activeCell="K5" sqref="K5"/>
    </sheetView>
  </sheetViews>
  <sheetFormatPr defaultRowHeight="14.4" x14ac:dyDescent="0.3"/>
  <cols>
    <col min="1" max="1" width="11.5546875" bestFit="1" customWidth="1"/>
    <col min="4" max="4" width="11.88671875" bestFit="1" customWidth="1"/>
    <col min="10" max="10" width="10.6640625" bestFit="1" customWidth="1"/>
  </cols>
  <sheetData>
    <row r="1" spans="1:12" x14ac:dyDescent="0.3">
      <c r="A1" s="2" t="s">
        <v>0</v>
      </c>
      <c r="B1" s="2" t="s">
        <v>10</v>
      </c>
      <c r="C1" s="2" t="s">
        <v>11</v>
      </c>
      <c r="D1" s="2" t="s">
        <v>12</v>
      </c>
      <c r="G1" s="2" t="s">
        <v>0</v>
      </c>
      <c r="H1" s="2" t="s">
        <v>10</v>
      </c>
      <c r="I1" s="2" t="s">
        <v>11</v>
      </c>
      <c r="L1" s="4" t="s">
        <v>13</v>
      </c>
    </row>
    <row r="2" spans="1:12" x14ac:dyDescent="0.3">
      <c r="A2" s="1" t="s">
        <v>1</v>
      </c>
      <c r="B2" s="1">
        <v>25</v>
      </c>
      <c r="C2" s="1">
        <v>4029</v>
      </c>
      <c r="D2" s="1">
        <f>B2*C2</f>
        <v>100725</v>
      </c>
      <c r="G2" s="1" t="s">
        <v>1</v>
      </c>
      <c r="H2" s="1">
        <v>25</v>
      </c>
      <c r="I2" s="1">
        <v>4029</v>
      </c>
    </row>
    <row r="3" spans="1:12" x14ac:dyDescent="0.3">
      <c r="A3" s="1" t="s">
        <v>2</v>
      </c>
      <c r="B3" s="1">
        <v>20</v>
      </c>
      <c r="C3" s="1">
        <v>6490</v>
      </c>
      <c r="D3" s="1">
        <f t="shared" ref="D3:D10" si="0">B3*C3</f>
        <v>129800</v>
      </c>
      <c r="G3" s="1" t="s">
        <v>2</v>
      </c>
      <c r="H3" s="1">
        <v>20</v>
      </c>
      <c r="I3" s="1">
        <v>6490</v>
      </c>
      <c r="J3" t="s">
        <v>15</v>
      </c>
      <c r="K3" t="s">
        <v>1</v>
      </c>
      <c r="L3" cm="1">
        <f t="array" ref="L3">SUMPRODUCT((G2:G10=K3)*H2:H10,I2:I10)</f>
        <v>100725</v>
      </c>
    </row>
    <row r="4" spans="1:12" x14ac:dyDescent="0.3">
      <c r="A4" s="1" t="s">
        <v>3</v>
      </c>
      <c r="B4" s="1">
        <v>15</v>
      </c>
      <c r="C4" s="1">
        <v>3298</v>
      </c>
      <c r="D4" s="1">
        <f t="shared" si="0"/>
        <v>49470</v>
      </c>
      <c r="G4" s="1" t="s">
        <v>3</v>
      </c>
      <c r="H4" s="1">
        <v>15</v>
      </c>
      <c r="I4" s="1">
        <v>3298</v>
      </c>
    </row>
    <row r="5" spans="1:12" x14ac:dyDescent="0.3">
      <c r="A5" s="1" t="s">
        <v>4</v>
      </c>
      <c r="B5" s="1">
        <v>30</v>
      </c>
      <c r="C5" s="1">
        <v>7413</v>
      </c>
      <c r="D5" s="1">
        <f t="shared" si="0"/>
        <v>222390</v>
      </c>
      <c r="G5" s="1" t="s">
        <v>4</v>
      </c>
      <c r="H5" s="1">
        <v>30</v>
      </c>
      <c r="I5" s="1">
        <v>7413</v>
      </c>
    </row>
    <row r="6" spans="1:12" x14ac:dyDescent="0.3">
      <c r="A6" s="1" t="s">
        <v>5</v>
      </c>
      <c r="B6" s="1">
        <v>28</v>
      </c>
      <c r="C6" s="1">
        <v>7439</v>
      </c>
      <c r="D6" s="1">
        <f t="shared" si="0"/>
        <v>208292</v>
      </c>
      <c r="G6" s="1" t="s">
        <v>5</v>
      </c>
      <c r="H6" s="1">
        <v>28</v>
      </c>
      <c r="I6" s="1">
        <v>7439</v>
      </c>
    </row>
    <row r="7" spans="1:12" x14ac:dyDescent="0.3">
      <c r="A7" s="1" t="s">
        <v>6</v>
      </c>
      <c r="B7" s="1">
        <v>39</v>
      </c>
      <c r="C7" s="1">
        <v>16272</v>
      </c>
      <c r="D7" s="1">
        <f t="shared" si="0"/>
        <v>634608</v>
      </c>
      <c r="G7" s="1" t="s">
        <v>6</v>
      </c>
      <c r="H7" s="1">
        <v>39</v>
      </c>
      <c r="I7" s="1">
        <v>16272</v>
      </c>
    </row>
    <row r="8" spans="1:12" x14ac:dyDescent="0.3">
      <c r="A8" s="1" t="s">
        <v>7</v>
      </c>
      <c r="B8" s="1">
        <v>40</v>
      </c>
      <c r="C8" s="1">
        <v>4206</v>
      </c>
      <c r="D8" s="1">
        <f t="shared" si="0"/>
        <v>168240</v>
      </c>
      <c r="G8" s="1" t="s">
        <v>7</v>
      </c>
      <c r="H8" s="1">
        <v>40</v>
      </c>
      <c r="I8" s="1">
        <v>4206</v>
      </c>
    </row>
    <row r="9" spans="1:12" x14ac:dyDescent="0.3">
      <c r="A9" s="1" t="s">
        <v>8</v>
      </c>
      <c r="B9" s="1">
        <v>39</v>
      </c>
      <c r="C9" s="1">
        <v>12920</v>
      </c>
      <c r="D9" s="1">
        <f t="shared" si="0"/>
        <v>503880</v>
      </c>
      <c r="G9" s="1" t="s">
        <v>8</v>
      </c>
      <c r="H9" s="1">
        <v>39</v>
      </c>
      <c r="I9" s="1">
        <v>12920</v>
      </c>
    </row>
    <row r="10" spans="1:12" x14ac:dyDescent="0.3">
      <c r="A10" s="1" t="s">
        <v>9</v>
      </c>
      <c r="B10" s="1">
        <v>10</v>
      </c>
      <c r="C10" s="1">
        <v>12135</v>
      </c>
      <c r="D10" s="1">
        <f t="shared" si="0"/>
        <v>121350</v>
      </c>
      <c r="G10" s="1" t="s">
        <v>9</v>
      </c>
      <c r="H10" s="1">
        <v>10</v>
      </c>
      <c r="I10" s="1">
        <v>12135</v>
      </c>
    </row>
    <row r="11" spans="1:12" x14ac:dyDescent="0.3">
      <c r="D11" s="3">
        <f>SUM(D2:D10)</f>
        <v>2138755</v>
      </c>
      <c r="I11">
        <f>SUMPRODUCT(H2:H10,I2:I10)</f>
        <v>2138755</v>
      </c>
    </row>
    <row r="12" spans="1:12" x14ac:dyDescent="0.3">
      <c r="C12" s="5" t="s">
        <v>13</v>
      </c>
    </row>
    <row r="13" spans="1:12" x14ac:dyDescent="0.3">
      <c r="A13" t="s">
        <v>14</v>
      </c>
      <c r="B13" t="s">
        <v>1</v>
      </c>
      <c r="C13">
        <f>SUMIF(A2:A10,B13,D2:D10)</f>
        <v>100725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ADB3-2A33-49FE-AE8E-FF31462E38E2}">
  <dimension ref="A1:H11"/>
  <sheetViews>
    <sheetView tabSelected="1" topLeftCell="A3" workbookViewId="0">
      <selection activeCell="H8" sqref="H8"/>
    </sheetView>
  </sheetViews>
  <sheetFormatPr defaultRowHeight="14.4" x14ac:dyDescent="0.3"/>
  <cols>
    <col min="6" max="6" width="33.21875" bestFit="1" customWidth="1"/>
  </cols>
  <sheetData>
    <row r="1" spans="1:8" x14ac:dyDescent="0.3">
      <c r="A1" s="2" t="s">
        <v>0</v>
      </c>
      <c r="B1" s="2" t="s">
        <v>10</v>
      </c>
      <c r="C1" s="2" t="s">
        <v>19</v>
      </c>
    </row>
    <row r="2" spans="1:8" x14ac:dyDescent="0.3">
      <c r="A2" s="1" t="s">
        <v>16</v>
      </c>
      <c r="B2" s="1">
        <v>10</v>
      </c>
      <c r="C2" s="1">
        <v>50</v>
      </c>
      <c r="E2">
        <v>1</v>
      </c>
      <c r="F2" t="s">
        <v>20</v>
      </c>
      <c r="H2">
        <f>SUMPRODUCT(B2:B4,C2:C4)</f>
        <v>940</v>
      </c>
    </row>
    <row r="3" spans="1:8" x14ac:dyDescent="0.3">
      <c r="A3" s="1" t="s">
        <v>17</v>
      </c>
      <c r="B3" s="1">
        <v>5</v>
      </c>
      <c r="C3" s="1">
        <v>40</v>
      </c>
      <c r="E3">
        <v>2</v>
      </c>
      <c r="F3" t="s">
        <v>21</v>
      </c>
      <c r="H3" cm="1">
        <f t="array" ref="H3">SUMPRODUCT((A2:A4={"A","C"})*(B2:B4)*(C2:C4))</f>
        <v>740</v>
      </c>
    </row>
    <row r="4" spans="1:8" x14ac:dyDescent="0.3">
      <c r="A4" s="1" t="s">
        <v>18</v>
      </c>
      <c r="B4" s="1">
        <v>8</v>
      </c>
      <c r="C4" s="1">
        <v>30</v>
      </c>
    </row>
    <row r="7" spans="1:8" x14ac:dyDescent="0.3">
      <c r="A7" s="2" t="s">
        <v>22</v>
      </c>
      <c r="B7" s="2" t="s">
        <v>23</v>
      </c>
      <c r="C7" s="2" t="s">
        <v>10</v>
      </c>
      <c r="D7" s="2" t="s">
        <v>24</v>
      </c>
      <c r="E7">
        <v>1</v>
      </c>
      <c r="F7" s="6" t="s">
        <v>27</v>
      </c>
      <c r="H7" cm="1">
        <f t="array" ref="H7">SUMPRODUCT((A8:A11="NORTH")*(B8:B11="A")*(C8:C11)*(D8:D11))</f>
        <v>500</v>
      </c>
    </row>
    <row r="8" spans="1:8" x14ac:dyDescent="0.3">
      <c r="A8" s="1" t="s">
        <v>26</v>
      </c>
      <c r="B8" s="1" t="s">
        <v>16</v>
      </c>
      <c r="C8" s="1">
        <v>10</v>
      </c>
      <c r="D8" s="1">
        <v>50</v>
      </c>
    </row>
    <row r="9" spans="1:8" x14ac:dyDescent="0.3">
      <c r="A9" s="1" t="s">
        <v>25</v>
      </c>
      <c r="B9" s="1" t="s">
        <v>16</v>
      </c>
      <c r="C9" s="1">
        <v>7</v>
      </c>
      <c r="D9" s="1">
        <v>50</v>
      </c>
    </row>
    <row r="10" spans="1:8" x14ac:dyDescent="0.3">
      <c r="A10" s="1" t="s">
        <v>26</v>
      </c>
      <c r="B10" s="1" t="s">
        <v>17</v>
      </c>
      <c r="C10" s="1">
        <v>5</v>
      </c>
      <c r="D10" s="1">
        <v>40</v>
      </c>
    </row>
    <row r="11" spans="1:8" x14ac:dyDescent="0.3">
      <c r="A11" s="1" t="s">
        <v>25</v>
      </c>
      <c r="B11" s="1" t="s">
        <v>17</v>
      </c>
      <c r="C11" s="1">
        <v>4</v>
      </c>
      <c r="D11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rajput</dc:creator>
  <cp:lastModifiedBy>uma rajput</cp:lastModifiedBy>
  <dcterms:created xsi:type="dcterms:W3CDTF">2026-08-19T07:08:57Z</dcterms:created>
  <dcterms:modified xsi:type="dcterms:W3CDTF">2026-08-19T07:44:14Z</dcterms:modified>
</cp:coreProperties>
</file>