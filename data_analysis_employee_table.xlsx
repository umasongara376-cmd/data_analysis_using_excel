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56F87736217BE48/Documents/"/>
    </mc:Choice>
  </mc:AlternateContent>
  <xr:revisionPtr revIDLastSave="571" documentId="8_{92A3D5BE-C645-4C8A-8860-C7B7C09DDD97}" xr6:coauthVersionLast="47" xr6:coauthVersionMax="47" xr10:uidLastSave="{BBAB6117-88E0-45D0-B0C6-2AEEE8A260B0}"/>
  <bookViews>
    <workbookView minimized="1" xWindow="5328" yWindow="4056" windowWidth="17280" windowHeight="8880" activeTab="3" xr2:uid="{61ECA79B-05F5-4C2D-BC8E-28EA28D9B89E}"/>
  </bookViews>
  <sheets>
    <sheet name="VLOOKUP" sheetId="1" r:id="rId1"/>
    <sheet name="XLOOKUP" sheetId="8" r:id="rId2"/>
    <sheet name="filter" sheetId="11" r:id="rId3"/>
    <sheet name="filter q" sheetId="12" r:id="rId4"/>
    <sheet name="Sheet3" sheetId="9" r:id="rId5"/>
    <sheet name="Sheet6" sheetId="10" r:id="rId6"/>
    <sheet name="iferror" sheetId="5" r:id="rId7"/>
    <sheet name="Sheet4" sheetId="6" r:id="rId8"/>
    <sheet name="Sheet1" sheetId="2" r:id="rId9"/>
    <sheet name="Sheet5" sheetId="7" r:id="rId10"/>
    <sheet name="HLOOKUP" sheetId="4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7" i="12" l="1" a="1"/>
  <c r="N17" i="12" s="1"/>
  <c r="N15" i="12" a="1"/>
  <c r="N15" i="12" s="1"/>
  <c r="L10" i="12" a="1"/>
  <c r="L10" i="12" s="1"/>
  <c r="L5" i="12" a="1"/>
  <c r="L5" i="12" s="1"/>
  <c r="L2" i="12" a="1"/>
  <c r="L2" i="12" s="1"/>
  <c r="L22" i="11" a="1"/>
  <c r="L22" i="11" s="1"/>
  <c r="L17" i="11" a="1"/>
  <c r="L17" i="11" s="1"/>
  <c r="L12" i="11" a="1"/>
  <c r="L12" i="11"/>
  <c r="L4" i="11" a="1"/>
  <c r="L4" i="11"/>
  <c r="L9" i="8"/>
  <c r="K7" i="8"/>
  <c r="J8" i="10"/>
  <c r="J6" i="10"/>
  <c r="J5" i="10"/>
  <c r="J4" i="10"/>
  <c r="J3" i="10"/>
  <c r="C12" i="10"/>
  <c r="D12" i="10"/>
  <c r="E12" i="10"/>
  <c r="K6" i="9" a="1"/>
  <c r="K6" i="9" s="1"/>
  <c r="J5" i="9" a="1"/>
  <c r="J5" i="9" s="1"/>
  <c r="J4" i="9" a="1"/>
  <c r="J4" i="9" s="1"/>
  <c r="J3" i="9" a="1"/>
  <c r="J3" i="9" s="1"/>
  <c r="J2" i="9"/>
  <c r="D12" i="9"/>
  <c r="E12" i="9"/>
  <c r="F12" i="9"/>
  <c r="C12" i="9"/>
  <c r="F3" i="9"/>
  <c r="F4" i="9"/>
  <c r="F5" i="9"/>
  <c r="F6" i="9"/>
  <c r="F7" i="9"/>
  <c r="F8" i="9"/>
  <c r="F9" i="9"/>
  <c r="F10" i="9"/>
  <c r="F2" i="9"/>
  <c r="K5" i="8"/>
  <c r="K4" i="8" a="1"/>
  <c r="K4" i="8" s="1"/>
  <c r="K3" i="8"/>
  <c r="E13" i="4" a="1"/>
  <c r="E13" i="4" s="1"/>
  <c r="J14" i="4"/>
  <c r="J15" i="4"/>
  <c r="J13" i="4"/>
  <c r="F9" i="7"/>
  <c r="E2" i="7"/>
  <c r="C21" i="6" a="1"/>
  <c r="C21" i="6" s="1"/>
  <c r="C19" i="6" a="1"/>
  <c r="C19" i="6" s="1"/>
  <c r="C17" i="6"/>
  <c r="D20" i="5"/>
  <c r="G21" i="5"/>
  <c r="G20" i="5"/>
  <c r="D19" i="5"/>
  <c r="J16" i="4"/>
  <c r="J17" i="4"/>
  <c r="E18" i="4"/>
  <c r="E19" i="4"/>
  <c r="E20" i="4"/>
  <c r="E21" i="4"/>
  <c r="E22" i="4"/>
  <c r="E23" i="4"/>
  <c r="E17" i="4"/>
  <c r="F16" i="4"/>
  <c r="E15" i="4" a="1"/>
  <c r="E15" i="4" s="1"/>
  <c r="E14" i="4"/>
  <c r="F22" i="1"/>
  <c r="F21" i="1"/>
  <c r="F20" i="1"/>
  <c r="A20" i="1" a="1"/>
  <c r="A20" i="1" s="1"/>
  <c r="E7" i="2"/>
  <c r="D5" i="2"/>
  <c r="D6" i="2" a="1"/>
  <c r="D6" i="2" s="1"/>
  <c r="M31" i="1"/>
  <c r="L27" i="1"/>
  <c r="L26" i="1"/>
  <c r="L19" i="1" a="1"/>
  <c r="L19" i="1" s="1"/>
  <c r="L24" i="1" a="1"/>
  <c r="L24" i="1" s="1"/>
  <c r="L23" i="1" a="1"/>
  <c r="L23" i="1" s="1"/>
  <c r="L22" i="1" a="1"/>
  <c r="L22" i="1" s="1"/>
  <c r="L21" i="1" a="1"/>
  <c r="L21" i="1" s="1"/>
  <c r="L20" i="1" a="1"/>
  <c r="L20" i="1" s="1"/>
  <c r="L18" i="1"/>
  <c r="L14" i="1"/>
  <c r="L15" i="1"/>
  <c r="L17" i="1"/>
  <c r="L16" i="1"/>
  <c r="L13" i="1"/>
  <c r="L11" i="1"/>
  <c r="L10" i="1"/>
  <c r="L9" i="1"/>
  <c r="L8" i="1"/>
  <c r="L7" i="1"/>
  <c r="L6" i="1"/>
  <c r="L5" i="1"/>
  <c r="L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Pooja</author>
  </authors>
  <commentList>
    <comment ref="B7" authorId="0" shapeId="0" xr:uid="{7668DACE-A7C2-44AF-97B9-774097A5377C}">
      <text>
        <r>
          <rPr>
            <b/>
            <sz val="9"/>
            <color indexed="81"/>
            <rFont val="Tahoma"/>
            <family val="2"/>
          </rPr>
          <t>Pooja: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8" authorId="0" shapeId="0" xr:uid="{1A98F3B1-1B46-47DA-8F26-E9307495671B}">
      <text>
        <r>
          <rPr>
            <b/>
            <sz val="9"/>
            <color indexed="81"/>
            <rFont val="Tahoma"/>
            <family val="2"/>
          </rPr>
          <t>Pooja: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Pooja</author>
  </authors>
  <commentList>
    <comment ref="B7" authorId="0" shapeId="0" xr:uid="{83CA88E2-2F45-4496-B93D-3B941BD25E5C}">
      <text>
        <r>
          <rPr>
            <b/>
            <sz val="9"/>
            <color indexed="81"/>
            <rFont val="Tahoma"/>
            <family val="2"/>
          </rPr>
          <t>Pooja: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8" authorId="0" shapeId="0" xr:uid="{44924ED8-0CC6-4569-8455-F811BE99BA62}">
      <text>
        <r>
          <rPr>
            <b/>
            <sz val="9"/>
            <color indexed="81"/>
            <rFont val="Tahoma"/>
            <family val="2"/>
          </rPr>
          <t>Pooja: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Pooja</author>
  </authors>
  <commentList>
    <comment ref="B7" authorId="0" shapeId="0" xr:uid="{01631EE0-35C9-43DB-88AA-30C6FE3E7AF8}">
      <text>
        <r>
          <rPr>
            <b/>
            <sz val="9"/>
            <color indexed="81"/>
            <rFont val="Tahoma"/>
            <family val="2"/>
          </rPr>
          <t>Pooja: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8" authorId="0" shapeId="0" xr:uid="{522641A0-2BBC-448F-8DE7-F6A694EB4CC7}">
      <text>
        <r>
          <rPr>
            <b/>
            <sz val="9"/>
            <color indexed="81"/>
            <rFont val="Tahoma"/>
            <family val="2"/>
          </rPr>
          <t>Pooja: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Pooja</author>
  </authors>
  <commentList>
    <comment ref="C8" authorId="0" shapeId="0" xr:uid="{A92FF15D-FF7A-43FD-A18D-D1ACA9E88853}">
      <text>
        <r>
          <rPr>
            <b/>
            <sz val="9"/>
            <color indexed="81"/>
            <rFont val="Tahoma"/>
            <family val="2"/>
          </rPr>
          <t>Pooja: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8" authorId="0" shapeId="0" xr:uid="{E5764497-6D10-49DB-9756-5E895D7941A6}">
      <text>
        <r>
          <rPr>
            <b/>
            <sz val="9"/>
            <color indexed="81"/>
            <rFont val="Tahoma"/>
            <family val="2"/>
          </rPr>
          <t>Pooja: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9" authorId="0" shapeId="0" xr:uid="{591F7744-7B7B-4CC0-BE79-87A759A9CB48}">
      <text>
        <r>
          <rPr>
            <b/>
            <sz val="9"/>
            <color indexed="81"/>
            <rFont val="Tahoma"/>
            <family val="2"/>
          </rPr>
          <t>Pooja: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Pooja</author>
  </authors>
  <commentList>
    <comment ref="A5" authorId="0" shapeId="0" xr:uid="{63824233-32E1-4759-AE6A-F0E4FD3BCEA2}">
      <text>
        <r>
          <rPr>
            <b/>
            <sz val="9"/>
            <color indexed="81"/>
            <rFont val="Tahoma"/>
            <family val="2"/>
          </rPr>
          <t>Pooja: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5" authorId="0" shapeId="0" xr:uid="{C61784B1-4533-4C81-90BC-D81258C66596}">
      <text>
        <r>
          <rPr>
            <b/>
            <sz val="9"/>
            <color indexed="81"/>
            <rFont val="Tahoma"/>
            <family val="2"/>
          </rPr>
          <t>Pooja: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6" authorId="0" shapeId="0" xr:uid="{02C7DFA3-E625-4ED1-B162-97FFE422DD61}">
      <text>
        <r>
          <rPr>
            <b/>
            <sz val="9"/>
            <color indexed="81"/>
            <rFont val="Tahoma"/>
            <family val="2"/>
          </rPr>
          <t>Pooja: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Pooja</author>
  </authors>
  <commentList>
    <comment ref="H4" authorId="0" shapeId="0" xr:uid="{27B65153-C931-4EF9-9467-7060B38250F3}">
      <text>
        <r>
          <rPr>
            <b/>
            <sz val="9"/>
            <color indexed="81"/>
            <rFont val="Tahoma"/>
            <family val="2"/>
          </rPr>
          <t>Pooja: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5" authorId="0" shapeId="0" xr:uid="{E46547D2-0D90-407A-A2B9-D7D1482C3539}">
      <text>
        <r>
          <rPr>
            <b/>
            <sz val="9"/>
            <color indexed="81"/>
            <rFont val="Tahoma"/>
            <family val="2"/>
          </rPr>
          <t>Pooja: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<sst xmlns="http://schemas.openxmlformats.org/spreadsheetml/2006/main" count="589" uniqueCount="112">
  <si>
    <t>Employee Table</t>
  </si>
  <si>
    <t>Emp. ID</t>
  </si>
  <si>
    <t>Name</t>
  </si>
  <si>
    <t>Age</t>
  </si>
  <si>
    <t>Designation</t>
  </si>
  <si>
    <t>Department</t>
  </si>
  <si>
    <t>Salary</t>
  </si>
  <si>
    <t>Place</t>
  </si>
  <si>
    <t>Mob.No.</t>
  </si>
  <si>
    <t>Kapil Sharma</t>
  </si>
  <si>
    <t>Engineer</t>
  </si>
  <si>
    <t>Technical</t>
  </si>
  <si>
    <t>Indore</t>
  </si>
  <si>
    <t>Sunil Grover</t>
  </si>
  <si>
    <t>Accountant</t>
  </si>
  <si>
    <t>Finance</t>
  </si>
  <si>
    <t>Bhopal</t>
  </si>
  <si>
    <t>Kapil Singh</t>
  </si>
  <si>
    <t>CAD Designer</t>
  </si>
  <si>
    <t>Ali Asgar</t>
  </si>
  <si>
    <t>Sunil Singh</t>
  </si>
  <si>
    <t>ujjain</t>
  </si>
  <si>
    <t>Mohan Patel</t>
  </si>
  <si>
    <t>Ravi Verma</t>
  </si>
  <si>
    <t>Deepak Singh</t>
  </si>
  <si>
    <t>Vikas Patel</t>
  </si>
  <si>
    <t>Gopal Jat</t>
  </si>
  <si>
    <t>Rohan Yadav</t>
  </si>
  <si>
    <t>Janwi Rai</t>
  </si>
  <si>
    <t>total salary</t>
  </si>
  <si>
    <t>min salary</t>
  </si>
  <si>
    <t>max salary</t>
  </si>
  <si>
    <t>avg salary</t>
  </si>
  <si>
    <t>t s of age &gt;25</t>
  </si>
  <si>
    <t>t s of tech</t>
  </si>
  <si>
    <t>t s of finan age&gt;26</t>
  </si>
  <si>
    <t>h m emp in bhopal</t>
  </si>
  <si>
    <t>SUNAL SINGH SALA</t>
  </si>
  <si>
    <t>ENGINEER SALARY</t>
  </si>
  <si>
    <t>KAPIL SINGH SALARY</t>
  </si>
  <si>
    <t>20020 DEPART</t>
  </si>
  <si>
    <t>20016 NAME</t>
  </si>
  <si>
    <t xml:space="preserve">Janwi Rai </t>
  </si>
  <si>
    <t>match</t>
  </si>
  <si>
    <t>vlookup,match</t>
  </si>
  <si>
    <t>vlookup SALARY</t>
  </si>
  <si>
    <t>ALL INFO</t>
  </si>
  <si>
    <t>name</t>
  </si>
  <si>
    <t>mohan patel</t>
  </si>
  <si>
    <t>sunil singh</t>
  </si>
  <si>
    <t>salary</t>
  </si>
  <si>
    <t>if error</t>
  </si>
  <si>
    <t>Marks</t>
  </si>
  <si>
    <t>Grade</t>
  </si>
  <si>
    <t>F</t>
  </si>
  <si>
    <t>D</t>
  </si>
  <si>
    <t>C</t>
  </si>
  <si>
    <t>B</t>
  </si>
  <si>
    <t>A</t>
  </si>
  <si>
    <t>PRODUCT</t>
  </si>
  <si>
    <t>JAN</t>
  </si>
  <si>
    <t>FEB</t>
  </si>
  <si>
    <t>MAR</t>
  </si>
  <si>
    <t>APPLE</t>
  </si>
  <si>
    <t>MANGO</t>
  </si>
  <si>
    <t>BANANA</t>
  </si>
  <si>
    <t>HSN CODE</t>
  </si>
  <si>
    <t>XYZ001</t>
  </si>
  <si>
    <t>XYZ002</t>
  </si>
  <si>
    <t>XYZ003</t>
  </si>
  <si>
    <t>XYZ004</t>
  </si>
  <si>
    <t>XYZ005</t>
  </si>
  <si>
    <t>XYZ006</t>
  </si>
  <si>
    <t>XYZ007</t>
  </si>
  <si>
    <t>XYZ008</t>
  </si>
  <si>
    <t>XYZ009</t>
  </si>
  <si>
    <t>COFFEE</t>
  </si>
  <si>
    <t>CANDY</t>
  </si>
  <si>
    <t>CHOCOLATE</t>
  </si>
  <si>
    <t>SUGAR</t>
  </si>
  <si>
    <t>MILK POWDER</t>
  </si>
  <si>
    <t>BISCUITS</t>
  </si>
  <si>
    <t>COLD DRINKS</t>
  </si>
  <si>
    <t>ENERGY DRINKS</t>
  </si>
  <si>
    <t>FRUIT JUICE</t>
  </si>
  <si>
    <t>TOTAL</t>
  </si>
  <si>
    <t>ANS</t>
  </si>
  <si>
    <t>SUM</t>
  </si>
  <si>
    <t>MIN</t>
  </si>
  <si>
    <t>MAX</t>
  </si>
  <si>
    <t>AVG</t>
  </si>
  <si>
    <t>index formula</t>
  </si>
  <si>
    <t>FILDER FORMULA</t>
  </si>
  <si>
    <t>&gt;30000</t>
  </si>
  <si>
    <t>&gt;25</t>
  </si>
  <si>
    <t>amit</t>
  </si>
  <si>
    <t>riya</t>
  </si>
  <si>
    <t>mohit</t>
  </si>
  <si>
    <t>neha</t>
  </si>
  <si>
    <t>sohan</t>
  </si>
  <si>
    <t>priti</t>
  </si>
  <si>
    <t>department</t>
  </si>
  <si>
    <t>sales</t>
  </si>
  <si>
    <t>hr</t>
  </si>
  <si>
    <t>it</t>
  </si>
  <si>
    <t>questions</t>
  </si>
  <si>
    <t>show the list of employees from the sales department</t>
  </si>
  <si>
    <t>show employees with salary greater than 40000.</t>
  </si>
  <si>
    <t>show employees from both hr and it department</t>
  </si>
  <si>
    <t>ans</t>
  </si>
  <si>
    <t>show employees from sales department AND salary greater than 30000</t>
  </si>
  <si>
    <t>show IT department employees with saalary above 55000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</si>
</sst>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26"/>
      <color theme="1"/>
      <name val="Algerian"/>
      <family val="5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12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3" borderId="2" xfId="0" applyFont="1" applyFill="1" applyBorder="1"/>
    <xf numFmtId="0" fontId="3" fillId="3" borderId="2" xfId="0" applyFont="1" applyFill="1" applyBorder="1"/>
    <xf numFmtId="0" fontId="2" fillId="0" borderId="2" xfId="0" applyFont="1" applyBorder="1"/>
    <xf numFmtId="0" fontId="4" fillId="0" borderId="2" xfId="0" applyFont="1" applyBorder="1" applyAlignment="1">
      <alignment horizontal="center"/>
    </xf>
    <xf numFmtId="0" fontId="5" fillId="0" borderId="2" xfId="0" applyFont="1" applyBorder="1"/>
    <xf numFmtId="0" fontId="4" fillId="0" borderId="2" xfId="0" applyFont="1" applyBorder="1"/>
    <xf numFmtId="0" fontId="2" fillId="4" borderId="0" xfId="0" applyFont="1" applyFill="1"/>
    <xf numFmtId="0" fontId="0" fillId="0" borderId="2" xfId="0" applyBorder="1"/>
    <xf numFmtId="0" fontId="0" fillId="5" borderId="2" xfId="0" applyFill="1" applyBorder="1"/>
    <xf numFmtId="0" fontId="0" fillId="2" borderId="2" xfId="0" applyFill="1" applyBorder="1"/>
    <xf numFmtId="0" fontId="0" fillId="6" borderId="2" xfId="0" applyFill="1" applyBorder="1"/>
    <xf numFmtId="0" fontId="0" fillId="5" borderId="0" xfId="0" applyFill="1"/>
    <xf numFmtId="0" fontId="4" fillId="6" borderId="0" xfId="0" applyFont="1" applyFill="1" applyAlignment="1">
      <alignment horizontal="center"/>
    </xf>
    <xf numFmtId="0" fontId="5" fillId="0" borderId="0" xfId="0" applyFont="1"/>
    <xf numFmtId="0" fontId="0" fillId="7" borderId="2" xfId="0" applyFill="1" applyBorder="1"/>
    <xf numFmtId="0" fontId="0" fillId="7" borderId="0" xfId="0" applyFill="1"/>
    <xf numFmtId="0" fontId="0" fillId="8" borderId="2" xfId="0" applyFill="1" applyBorder="1"/>
    <xf numFmtId="0" fontId="0" fillId="9" borderId="2" xfId="0" applyFill="1" applyBorder="1"/>
    <xf numFmtId="0" fontId="0" fillId="9" borderId="0" xfId="0" applyFill="1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10" borderId="0" xfId="0" applyFill="1"/>
    <xf numFmtId="0" fontId="0" fillId="11" borderId="0" xfId="0" applyFill="1"/>
    <xf numFmtId="0" fontId="0" fillId="11" borderId="2" xfId="0" applyFill="1" applyBorder="1"/>
    <xf numFmtId="0" fontId="0" fillId="3" borderId="0" xfId="0" applyFill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0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86AC7-6173-4BDA-845B-37B3016F1FA6}">
  <dimension ref="A1:R32"/>
  <sheetViews>
    <sheetView workbookViewId="0">
      <selection sqref="A1:H16"/>
    </sheetView>
  </sheetViews>
  <sheetFormatPr defaultRowHeight="14.4" x14ac:dyDescent="0.3"/>
  <cols>
    <col min="1" max="1" width="10.77734375" bestFit="1" customWidth="1"/>
    <col min="2" max="2" width="15" bestFit="1" customWidth="1"/>
    <col min="3" max="3" width="6.44140625" bestFit="1" customWidth="1"/>
    <col min="4" max="4" width="18" bestFit="1" customWidth="1"/>
    <col min="5" max="5" width="16.44140625" bestFit="1" customWidth="1"/>
    <col min="6" max="6" width="9" bestFit="1" customWidth="1"/>
    <col min="7" max="7" width="9.6640625" bestFit="1" customWidth="1"/>
    <col min="8" max="8" width="14.44140625" bestFit="1" customWidth="1"/>
    <col min="11" max="11" width="20.88671875" customWidth="1"/>
    <col min="12" max="12" width="12" customWidth="1"/>
    <col min="13" max="13" width="14.44140625" customWidth="1"/>
    <col min="14" max="14" width="10.33203125" bestFit="1" customWidth="1"/>
    <col min="15" max="15" width="14.33203125" customWidth="1"/>
    <col min="16" max="16" width="8.44140625" customWidth="1"/>
    <col min="17" max="17" width="12.5546875" customWidth="1"/>
    <col min="18" max="18" width="12.6640625" customWidth="1"/>
  </cols>
  <sheetData>
    <row r="1" spans="1:12" x14ac:dyDescent="0.3">
      <c r="A1" s="20" t="s">
        <v>0</v>
      </c>
      <c r="B1" s="20"/>
      <c r="C1" s="20"/>
      <c r="D1" s="20"/>
      <c r="E1" s="20"/>
      <c r="F1" s="20"/>
      <c r="G1" s="20"/>
      <c r="H1" s="20"/>
    </row>
    <row r="2" spans="1:12" x14ac:dyDescent="0.3">
      <c r="A2" s="21"/>
      <c r="B2" s="21"/>
      <c r="C2" s="21"/>
      <c r="D2" s="21"/>
      <c r="E2" s="21"/>
      <c r="F2" s="21"/>
      <c r="G2" s="21"/>
      <c r="H2" s="21"/>
    </row>
    <row r="3" spans="1:12" ht="23.4" x14ac:dyDescent="0.45">
      <c r="A3" s="1" t="s">
        <v>1</v>
      </c>
      <c r="B3" s="2" t="s">
        <v>2</v>
      </c>
      <c r="C3" s="2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K3" s="7"/>
    </row>
    <row r="4" spans="1:12" ht="21" x14ac:dyDescent="0.4">
      <c r="A4" s="3">
        <v>20012</v>
      </c>
      <c r="B4" s="4" t="s">
        <v>9</v>
      </c>
      <c r="C4" s="4">
        <v>26</v>
      </c>
      <c r="D4" s="5" t="s">
        <v>10</v>
      </c>
      <c r="E4" s="5" t="s">
        <v>11</v>
      </c>
      <c r="F4" s="5">
        <v>26500</v>
      </c>
      <c r="G4" s="5" t="s">
        <v>12</v>
      </c>
      <c r="H4" s="6">
        <v>8877456987</v>
      </c>
      <c r="K4" s="9" t="s">
        <v>29</v>
      </c>
      <c r="L4" s="9">
        <f>SUM(F4:F15)</f>
        <v>285000</v>
      </c>
    </row>
    <row r="5" spans="1:12" ht="21" x14ac:dyDescent="0.4">
      <c r="A5" s="3">
        <v>20013</v>
      </c>
      <c r="B5" s="4" t="s">
        <v>13</v>
      </c>
      <c r="C5" s="4">
        <v>25</v>
      </c>
      <c r="D5" s="5" t="s">
        <v>14</v>
      </c>
      <c r="E5" s="5" t="s">
        <v>15</v>
      </c>
      <c r="F5" s="5">
        <v>13000</v>
      </c>
      <c r="G5" s="5" t="s">
        <v>16</v>
      </c>
      <c r="H5" s="6">
        <v>8569741235</v>
      </c>
      <c r="K5" s="9" t="s">
        <v>30</v>
      </c>
      <c r="L5" s="9">
        <f>MIN(F4:F15)</f>
        <v>13000</v>
      </c>
    </row>
    <row r="6" spans="1:12" ht="21" x14ac:dyDescent="0.4">
      <c r="A6" s="3">
        <v>20014</v>
      </c>
      <c r="B6" s="4" t="s">
        <v>17</v>
      </c>
      <c r="C6" s="4">
        <v>28</v>
      </c>
      <c r="D6" s="5" t="s">
        <v>18</v>
      </c>
      <c r="E6" s="5" t="s">
        <v>11</v>
      </c>
      <c r="F6" s="5">
        <v>20000</v>
      </c>
      <c r="G6" s="5" t="s">
        <v>12</v>
      </c>
      <c r="H6" s="6">
        <v>7584963214</v>
      </c>
      <c r="K6" s="9" t="s">
        <v>31</v>
      </c>
      <c r="L6" s="9">
        <f>MAX(F4:F15)</f>
        <v>40500</v>
      </c>
    </row>
    <row r="7" spans="1:12" ht="21" x14ac:dyDescent="0.4">
      <c r="A7" s="3">
        <v>20015</v>
      </c>
      <c r="B7" s="4" t="s">
        <v>19</v>
      </c>
      <c r="C7" s="4">
        <v>27</v>
      </c>
      <c r="D7" s="5" t="s">
        <v>14</v>
      </c>
      <c r="E7" s="5" t="s">
        <v>15</v>
      </c>
      <c r="F7" s="5">
        <v>15000</v>
      </c>
      <c r="G7" s="5" t="s">
        <v>16</v>
      </c>
      <c r="H7" s="6">
        <v>7788994455</v>
      </c>
      <c r="K7" s="9" t="s">
        <v>32</v>
      </c>
      <c r="L7" s="9">
        <f>AVERAGE(F4:F15)</f>
        <v>23750</v>
      </c>
    </row>
    <row r="8" spans="1:12" ht="21" x14ac:dyDescent="0.4">
      <c r="A8" s="3">
        <v>20016</v>
      </c>
      <c r="B8" s="4" t="s">
        <v>20</v>
      </c>
      <c r="C8" s="4">
        <v>25</v>
      </c>
      <c r="D8" s="5" t="s">
        <v>10</v>
      </c>
      <c r="E8" s="5" t="s">
        <v>11</v>
      </c>
      <c r="F8" s="5">
        <v>20000</v>
      </c>
      <c r="G8" s="5" t="s">
        <v>21</v>
      </c>
      <c r="H8" s="6">
        <v>8798654512</v>
      </c>
      <c r="K8" s="9" t="s">
        <v>33</v>
      </c>
      <c r="L8" s="9">
        <f>SUMIF(C4:C15,"&gt;25",F4:F15)</f>
        <v>231000</v>
      </c>
    </row>
    <row r="9" spans="1:12" ht="21" x14ac:dyDescent="0.4">
      <c r="A9" s="3">
        <v>20017</v>
      </c>
      <c r="B9" s="4" t="s">
        <v>22</v>
      </c>
      <c r="C9" s="4">
        <v>26</v>
      </c>
      <c r="D9" s="5" t="s">
        <v>10</v>
      </c>
      <c r="E9" s="5" t="s">
        <v>11</v>
      </c>
      <c r="F9" s="5">
        <v>33000</v>
      </c>
      <c r="G9" s="5" t="s">
        <v>16</v>
      </c>
      <c r="H9" s="6">
        <v>9874563214</v>
      </c>
      <c r="K9" s="9" t="s">
        <v>34</v>
      </c>
      <c r="L9" s="9">
        <f>SUMIF(E4:E15,E4,F4:F15)</f>
        <v>167000</v>
      </c>
    </row>
    <row r="10" spans="1:12" ht="14.4" customHeight="1" x14ac:dyDescent="0.4">
      <c r="A10" s="3">
        <v>20018</v>
      </c>
      <c r="B10" s="4" t="s">
        <v>23</v>
      </c>
      <c r="C10" s="4">
        <v>25</v>
      </c>
      <c r="D10" s="5" t="s">
        <v>18</v>
      </c>
      <c r="E10" s="5" t="s">
        <v>11</v>
      </c>
      <c r="F10" s="5">
        <v>21000</v>
      </c>
      <c r="G10" s="5" t="s">
        <v>12</v>
      </c>
      <c r="H10" s="6">
        <v>8974563214</v>
      </c>
      <c r="K10" s="9" t="s">
        <v>35</v>
      </c>
      <c r="L10" s="9">
        <f>SUMIFS(F4:F15,E4:E15,E5,C4:C15,"&gt;26")</f>
        <v>55500</v>
      </c>
    </row>
    <row r="11" spans="1:12" ht="14.4" customHeight="1" x14ac:dyDescent="0.4">
      <c r="A11" s="3">
        <v>20019</v>
      </c>
      <c r="B11" s="4" t="s">
        <v>24</v>
      </c>
      <c r="C11" s="4">
        <v>26</v>
      </c>
      <c r="D11" s="5" t="s">
        <v>14</v>
      </c>
      <c r="E11" s="5" t="s">
        <v>15</v>
      </c>
      <c r="F11" s="5">
        <v>31500</v>
      </c>
      <c r="G11" s="5" t="s">
        <v>16</v>
      </c>
      <c r="H11" s="6">
        <v>8745968745</v>
      </c>
      <c r="K11" s="9" t="s">
        <v>36</v>
      </c>
      <c r="L11" s="9">
        <f>COUNTIF(G4:G15,G5)</f>
        <v>4</v>
      </c>
    </row>
    <row r="12" spans="1:12" ht="21" x14ac:dyDescent="0.4">
      <c r="A12" s="3">
        <v>20020</v>
      </c>
      <c r="B12" s="4" t="s">
        <v>25</v>
      </c>
      <c r="C12" s="4">
        <v>28</v>
      </c>
      <c r="D12" s="5" t="s">
        <v>14</v>
      </c>
      <c r="E12" s="5" t="s">
        <v>15</v>
      </c>
      <c r="F12" s="5">
        <v>40500</v>
      </c>
      <c r="G12" s="5" t="s">
        <v>12</v>
      </c>
      <c r="H12" s="6">
        <v>9874569874</v>
      </c>
    </row>
    <row r="13" spans="1:12" ht="21" x14ac:dyDescent="0.4">
      <c r="A13" s="3">
        <v>20021</v>
      </c>
      <c r="B13" s="4" t="s">
        <v>26</v>
      </c>
      <c r="C13" s="4">
        <v>27</v>
      </c>
      <c r="D13" s="5" t="s">
        <v>10</v>
      </c>
      <c r="E13" s="5" t="s">
        <v>11</v>
      </c>
      <c r="F13" s="5">
        <v>25500</v>
      </c>
      <c r="G13" s="5" t="s">
        <v>21</v>
      </c>
      <c r="H13" s="6">
        <v>8574965874</v>
      </c>
      <c r="K13" s="10" t="s">
        <v>41</v>
      </c>
      <c r="L13" s="10" t="str">
        <f>VLOOKUP(A8,A3:H15,2,0)</f>
        <v>Sunil Singh</v>
      </c>
    </row>
    <row r="14" spans="1:12" ht="21" x14ac:dyDescent="0.4">
      <c r="A14" s="3">
        <v>20022</v>
      </c>
      <c r="B14" s="4" t="s">
        <v>27</v>
      </c>
      <c r="C14" s="4">
        <v>26</v>
      </c>
      <c r="D14" s="5" t="s">
        <v>14</v>
      </c>
      <c r="E14" s="5" t="s">
        <v>15</v>
      </c>
      <c r="F14" s="5">
        <v>18000</v>
      </c>
      <c r="G14" s="5" t="s">
        <v>21</v>
      </c>
      <c r="H14" s="6">
        <v>8521479632</v>
      </c>
      <c r="K14" s="10" t="s">
        <v>40</v>
      </c>
      <c r="L14" s="10" t="str">
        <f>VLOOKUP(A12,A3:H15,5,0)</f>
        <v>Finance</v>
      </c>
    </row>
    <row r="15" spans="1:12" ht="21" x14ac:dyDescent="0.4">
      <c r="A15" s="3">
        <v>20023</v>
      </c>
      <c r="B15" s="4" t="s">
        <v>28</v>
      </c>
      <c r="C15" s="4">
        <v>27</v>
      </c>
      <c r="D15" s="5" t="s">
        <v>18</v>
      </c>
      <c r="E15" s="5" t="s">
        <v>11</v>
      </c>
      <c r="F15" s="5">
        <v>21000</v>
      </c>
      <c r="G15" s="5" t="s">
        <v>12</v>
      </c>
      <c r="H15" s="6">
        <v>8569745623</v>
      </c>
      <c r="K15" s="10" t="s">
        <v>39</v>
      </c>
      <c r="L15" s="10" t="str">
        <f>VLOOKUP(B6,B3:H15,6,0)</f>
        <v>Indore</v>
      </c>
    </row>
    <row r="16" spans="1:12" x14ac:dyDescent="0.3">
      <c r="K16" s="10" t="s">
        <v>38</v>
      </c>
      <c r="L16" s="10">
        <f>VLOOKUP(D4,D4:H15,3,0)</f>
        <v>26500</v>
      </c>
    </row>
    <row r="17" spans="1:18" x14ac:dyDescent="0.3">
      <c r="K17" s="10" t="s">
        <v>37</v>
      </c>
      <c r="L17" s="10">
        <f>VLOOKUP(B8,B3:H15,5,0)</f>
        <v>20000</v>
      </c>
    </row>
    <row r="18" spans="1:18" x14ac:dyDescent="0.3">
      <c r="L18">
        <f>VLOOKUP(C7,C3:H15,4,0)</f>
        <v>15000</v>
      </c>
    </row>
    <row r="19" spans="1:18" x14ac:dyDescent="0.3">
      <c r="K19" s="11">
        <v>20020</v>
      </c>
      <c r="L19" s="8" t="str" cm="1">
        <f t="array" ref="L19:R19">VLOOKUP(K19,A3:H15,{2,3,4,5,6,7,8},0)</f>
        <v>Vikas Patel</v>
      </c>
      <c r="M19" s="8">
        <v>28</v>
      </c>
      <c r="N19" s="8" t="str">
        <v>Accountant</v>
      </c>
      <c r="O19" s="8" t="str">
        <v>Finance</v>
      </c>
      <c r="P19" s="8">
        <v>40500</v>
      </c>
      <c r="Q19" s="8" t="str">
        <v>Indore</v>
      </c>
      <c r="R19" s="8">
        <v>9874569874</v>
      </c>
    </row>
    <row r="20" spans="1:18" x14ac:dyDescent="0.3">
      <c r="A20" t="str" cm="1">
        <f t="array" ref="A20:C32">CHOOSE({1,2,3},F3:F15,C3:C15,A3:A15)</f>
        <v>Salary</v>
      </c>
      <c r="B20" t="str">
        <v>Age</v>
      </c>
      <c r="C20" t="str">
        <v>Emp. ID</v>
      </c>
      <c r="E20" t="s">
        <v>48</v>
      </c>
      <c r="F20">
        <f>VLOOKUP(B9,CHOOSE({1,2},B3:B15,A3:A15),2,0)</f>
        <v>20017</v>
      </c>
      <c r="K20" s="11" t="s">
        <v>42</v>
      </c>
      <c r="L20" s="8" cm="1">
        <f t="array" ref="L20:Q20">VLOOKUP(B15,B3:H15,{2,3,4,5,6,7},0)</f>
        <v>27</v>
      </c>
      <c r="M20" s="8" t="str">
        <v>CAD Designer</v>
      </c>
      <c r="N20" s="8" t="str">
        <v>Technical</v>
      </c>
      <c r="O20" s="8">
        <v>21000</v>
      </c>
      <c r="P20" s="8" t="str">
        <v>Indore</v>
      </c>
      <c r="Q20" s="8">
        <v>8569745623</v>
      </c>
      <c r="R20" s="8"/>
    </row>
    <row r="21" spans="1:18" x14ac:dyDescent="0.3">
      <c r="A21">
        <v>26500</v>
      </c>
      <c r="B21">
        <v>26</v>
      </c>
      <c r="C21">
        <v>20012</v>
      </c>
      <c r="E21">
        <v>40500</v>
      </c>
      <c r="F21" t="str">
        <f>VLOOKUP(E21,CHOOSE({1,2},F3:F15,B3:B15),2,0)</f>
        <v>Vikas Patel</v>
      </c>
      <c r="K21" s="11">
        <v>20016</v>
      </c>
      <c r="L21" s="8" t="str" cm="1">
        <f t="array" ref="L21:O21">VLOOKUP(A8,A3:H15,{2,4,6,8},0)</f>
        <v>Sunil Singh</v>
      </c>
      <c r="M21" s="8" t="str">
        <v>Engineer</v>
      </c>
      <c r="N21" s="8">
        <v>20000</v>
      </c>
      <c r="O21" s="8">
        <v>8798654512</v>
      </c>
      <c r="P21" s="8"/>
      <c r="Q21" s="8"/>
      <c r="R21" s="8"/>
    </row>
    <row r="22" spans="1:18" x14ac:dyDescent="0.3">
      <c r="A22">
        <v>13000</v>
      </c>
      <c r="B22">
        <v>25</v>
      </c>
      <c r="C22">
        <v>20013</v>
      </c>
      <c r="E22">
        <v>7584963214</v>
      </c>
      <c r="F22">
        <f>VLOOKUP(E22,CHOOSE({1,2},H3:H15,A3:A15),2,0)</f>
        <v>20014</v>
      </c>
      <c r="K22" s="11">
        <v>20018</v>
      </c>
      <c r="L22" s="8" t="str" cm="1">
        <f t="array" ref="L22:O22">VLOOKUP(A10,A3:H15,{2,4,6,8},0)</f>
        <v>Ravi Verma</v>
      </c>
      <c r="M22" s="8" t="str">
        <v>CAD Designer</v>
      </c>
      <c r="N22" s="8">
        <v>21000</v>
      </c>
      <c r="O22" s="8">
        <v>8974563214</v>
      </c>
      <c r="P22" s="8"/>
      <c r="Q22" s="8"/>
      <c r="R22" s="8"/>
    </row>
    <row r="23" spans="1:18" x14ac:dyDescent="0.3">
      <c r="A23">
        <v>20000</v>
      </c>
      <c r="B23">
        <v>28</v>
      </c>
      <c r="C23">
        <v>20014</v>
      </c>
      <c r="K23" s="11">
        <v>20020</v>
      </c>
      <c r="L23" s="8" t="str" cm="1">
        <f t="array" ref="L23:O23">VLOOKUP(A12,A3:H15,{2,4,6,8},0)</f>
        <v>Vikas Patel</v>
      </c>
      <c r="M23" s="8" t="str">
        <v>Accountant</v>
      </c>
      <c r="N23" s="8">
        <v>40500</v>
      </c>
      <c r="O23" s="8">
        <v>9874569874</v>
      </c>
      <c r="P23" s="8"/>
      <c r="Q23" s="8"/>
      <c r="R23" s="8"/>
    </row>
    <row r="24" spans="1:18" x14ac:dyDescent="0.3">
      <c r="A24">
        <v>15000</v>
      </c>
      <c r="B24">
        <v>27</v>
      </c>
      <c r="C24">
        <v>20015</v>
      </c>
      <c r="K24" s="11">
        <v>20023</v>
      </c>
      <c r="L24" s="8" t="str" cm="1">
        <f t="array" ref="L24:O24">VLOOKUP(A15,A3:H15,{2,4,6,8},0)</f>
        <v>Janwi Rai</v>
      </c>
      <c r="M24" s="8" t="str">
        <v>CAD Designer</v>
      </c>
      <c r="N24" s="8">
        <v>21000</v>
      </c>
      <c r="O24" s="8">
        <v>8569745623</v>
      </c>
      <c r="P24" s="8"/>
      <c r="Q24" s="8"/>
      <c r="R24" s="8"/>
    </row>
    <row r="25" spans="1:18" x14ac:dyDescent="0.3">
      <c r="A25">
        <v>20000</v>
      </c>
      <c r="B25">
        <v>25</v>
      </c>
      <c r="C25">
        <v>20016</v>
      </c>
    </row>
    <row r="26" spans="1:18" x14ac:dyDescent="0.3">
      <c r="A26">
        <v>33000</v>
      </c>
      <c r="B26">
        <v>26</v>
      </c>
      <c r="C26">
        <v>20017</v>
      </c>
      <c r="K26" t="s">
        <v>43</v>
      </c>
      <c r="L26">
        <f>MATCH(B3,A3:H3,0)</f>
        <v>2</v>
      </c>
    </row>
    <row r="27" spans="1:18" x14ac:dyDescent="0.3">
      <c r="A27">
        <v>21000</v>
      </c>
      <c r="B27">
        <v>25</v>
      </c>
      <c r="C27">
        <v>20018</v>
      </c>
      <c r="K27" t="s">
        <v>44</v>
      </c>
      <c r="L27" t="str">
        <f>VLOOKUP(A4,A3:H15,MATCH(D3,A3:H3,0),0)</f>
        <v>Engineer</v>
      </c>
    </row>
    <row r="28" spans="1:18" x14ac:dyDescent="0.3">
      <c r="A28">
        <v>31500</v>
      </c>
      <c r="B28">
        <v>26</v>
      </c>
      <c r="C28">
        <v>20019</v>
      </c>
    </row>
    <row r="29" spans="1:18" x14ac:dyDescent="0.3">
      <c r="A29">
        <v>40500</v>
      </c>
      <c r="B29">
        <v>28</v>
      </c>
      <c r="C29">
        <v>20020</v>
      </c>
    </row>
    <row r="30" spans="1:18" x14ac:dyDescent="0.3">
      <c r="A30">
        <v>25500</v>
      </c>
      <c r="B30">
        <v>27</v>
      </c>
      <c r="C30">
        <v>20021</v>
      </c>
      <c r="K30">
        <v>20020</v>
      </c>
    </row>
    <row r="31" spans="1:18" x14ac:dyDescent="0.3">
      <c r="A31">
        <v>18000</v>
      </c>
      <c r="B31">
        <v>26</v>
      </c>
      <c r="C31">
        <v>20022</v>
      </c>
      <c r="K31" t="s">
        <v>3</v>
      </c>
      <c r="M31">
        <f>VLOOKUP(K30,A3:H15,MATCH(K31,A3:H3,0),0)</f>
        <v>28</v>
      </c>
    </row>
    <row r="32" spans="1:18" x14ac:dyDescent="0.3">
      <c r="A32">
        <v>21000</v>
      </c>
      <c r="B32">
        <v>27</v>
      </c>
      <c r="C32">
        <v>20023</v>
      </c>
      <c r="K32" t="s">
        <v>2</v>
      </c>
    </row>
  </sheetData>
  <mergeCells count="1">
    <mergeCell ref="A1:H2"/>
  </mergeCells>
  <dataValidations count="3">
    <dataValidation type="list" allowBlank="1" showInputMessage="1" showErrorMessage="1" sqref="A4:A15" xr:uid="{1DE497D6-B062-4078-B0A5-131E3B73D7D1}">
      <formula1>$D$4:$D$15</formula1>
    </dataValidation>
    <dataValidation type="list" allowBlank="1" showInputMessage="1" showErrorMessage="1" sqref="K30" xr:uid="{B958C079-2AA0-465C-97A2-33897EA6D066}">
      <formula1>$A$4:$A$15</formula1>
    </dataValidation>
    <dataValidation type="list" allowBlank="1" showInputMessage="1" showErrorMessage="1" sqref="N10 K31 K32" xr:uid="{15273B0E-E83C-4B7C-859C-744768F18499}">
      <formula1>$A$3:$H$3</formula1>
    </dataValidation>
  </dataValidation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94E25-1905-4B80-82BD-BC827CB4D586}">
  <dimension ref="A1:P15"/>
  <sheetViews>
    <sheetView topLeftCell="A3" workbookViewId="0">
      <selection activeCell="J12" sqref="J12:R40"/>
    </sheetView>
  </sheetViews>
  <sheetFormatPr defaultRowHeight="14.4" x14ac:dyDescent="0.3"/>
  <cols>
    <col min="1" max="1" width="10.77734375" bestFit="1" customWidth="1"/>
    <col min="2" max="2" width="15" bestFit="1" customWidth="1"/>
    <col min="3" max="3" width="6.44140625" bestFit="1" customWidth="1"/>
    <col min="4" max="4" width="18" bestFit="1" customWidth="1"/>
    <col min="5" max="5" width="16.44140625" bestFit="1" customWidth="1"/>
    <col min="6" max="6" width="9" bestFit="1" customWidth="1"/>
    <col min="7" max="7" width="9.6640625" bestFit="1" customWidth="1"/>
    <col min="8" max="8" width="14.44140625" bestFit="1" customWidth="1"/>
    <col min="10" max="10" width="16" customWidth="1"/>
  </cols>
  <sheetData>
    <row r="1" spans="1:16" x14ac:dyDescent="0.3">
      <c r="A1" s="20" t="s">
        <v>0</v>
      </c>
      <c r="B1" s="20"/>
      <c r="C1" s="20"/>
      <c r="D1" s="20"/>
      <c r="E1" s="20"/>
      <c r="F1" s="20"/>
      <c r="G1" s="20"/>
      <c r="H1" s="20"/>
    </row>
    <row r="2" spans="1:16" x14ac:dyDescent="0.3">
      <c r="A2" s="21"/>
      <c r="B2" s="21"/>
      <c r="C2" s="21"/>
      <c r="D2" s="21"/>
      <c r="E2" s="21"/>
      <c r="F2" s="21"/>
      <c r="G2" s="21"/>
      <c r="H2" s="21"/>
    </row>
    <row r="3" spans="1:16" ht="23.4" x14ac:dyDescent="0.45">
      <c r="A3" s="1" t="s">
        <v>1</v>
      </c>
      <c r="B3" s="2" t="s">
        <v>2</v>
      </c>
      <c r="C3" s="2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J3">
        <v>20015</v>
      </c>
      <c r="K3">
        <f>_xlfn.XLOOKUP(J3,A3:A15,C3:C15)</f>
        <v>27</v>
      </c>
    </row>
    <row r="4" spans="1:16" ht="21" x14ac:dyDescent="0.4">
      <c r="A4" s="3">
        <v>20012</v>
      </c>
      <c r="B4" s="4" t="s">
        <v>9</v>
      </c>
      <c r="C4" s="4">
        <v>26</v>
      </c>
      <c r="D4" s="5" t="s">
        <v>10</v>
      </c>
      <c r="E4" s="5" t="s">
        <v>11</v>
      </c>
      <c r="F4" s="5">
        <v>26500</v>
      </c>
      <c r="G4" s="5" t="s">
        <v>12</v>
      </c>
      <c r="H4" s="6">
        <v>8877456987</v>
      </c>
      <c r="J4" t="s">
        <v>19</v>
      </c>
      <c r="K4" cm="1">
        <f t="array" ref="K4:P4">_xlfn.XLOOKUP(J4,B3:B15,C3:H15)</f>
        <v>27</v>
      </c>
      <c r="L4" t="str">
        <v>Accountant</v>
      </c>
      <c r="M4" t="str">
        <v>Finance</v>
      </c>
      <c r="N4">
        <v>15000</v>
      </c>
      <c r="O4" t="str">
        <v>Bhopal</v>
      </c>
      <c r="P4">
        <v>7788994455</v>
      </c>
    </row>
    <row r="5" spans="1:16" ht="21" x14ac:dyDescent="0.4">
      <c r="A5" s="3">
        <v>20013</v>
      </c>
      <c r="B5" s="4" t="s">
        <v>13</v>
      </c>
      <c r="C5" s="4">
        <v>25</v>
      </c>
      <c r="D5" s="5" t="s">
        <v>14</v>
      </c>
      <c r="E5" s="5" t="s">
        <v>15</v>
      </c>
      <c r="F5" s="5">
        <v>13000</v>
      </c>
      <c r="G5" s="5" t="s">
        <v>16</v>
      </c>
      <c r="H5" s="6">
        <v>8569741235</v>
      </c>
      <c r="J5">
        <v>25</v>
      </c>
      <c r="K5">
        <f>_xlfn.XLOOKUP(J5,C3:C15,A3:A15)</f>
        <v>20013</v>
      </c>
    </row>
    <row r="6" spans="1:16" ht="21" x14ac:dyDescent="0.4">
      <c r="A6" s="3">
        <v>20014</v>
      </c>
      <c r="B6" s="4" t="s">
        <v>17</v>
      </c>
      <c r="C6" s="4">
        <v>28</v>
      </c>
      <c r="D6" s="5" t="s">
        <v>18</v>
      </c>
      <c r="E6" s="5" t="s">
        <v>11</v>
      </c>
      <c r="F6" s="5">
        <v>20000</v>
      </c>
      <c r="G6" s="5" t="s">
        <v>12</v>
      </c>
      <c r="H6" s="6">
        <v>7584963214</v>
      </c>
    </row>
    <row r="7" spans="1:16" ht="21" x14ac:dyDescent="0.4">
      <c r="A7" s="3">
        <v>20015</v>
      </c>
      <c r="B7" s="4" t="s">
        <v>19</v>
      </c>
      <c r="C7" s="4">
        <v>27</v>
      </c>
      <c r="D7" s="5" t="s">
        <v>14</v>
      </c>
      <c r="E7" s="5" t="s">
        <v>15</v>
      </c>
      <c r="F7" s="5">
        <v>15000</v>
      </c>
      <c r="G7" s="5" t="s">
        <v>16</v>
      </c>
      <c r="H7" s="6">
        <v>7788994455</v>
      </c>
      <c r="J7" s="23" t="s">
        <v>91</v>
      </c>
      <c r="K7" s="22">
        <f>INDEX(A3:H15,5,3)</f>
        <v>27</v>
      </c>
      <c r="L7" s="22"/>
    </row>
    <row r="8" spans="1:16" ht="21" x14ac:dyDescent="0.4">
      <c r="A8" s="3">
        <v>20016</v>
      </c>
      <c r="B8" s="4" t="s">
        <v>20</v>
      </c>
      <c r="C8" s="4">
        <v>25</v>
      </c>
      <c r="D8" s="5" t="s">
        <v>10</v>
      </c>
      <c r="E8" s="5" t="s">
        <v>11</v>
      </c>
      <c r="F8" s="5">
        <v>20000</v>
      </c>
      <c r="G8" s="5" t="s">
        <v>21</v>
      </c>
      <c r="H8" s="6">
        <v>8798654512</v>
      </c>
      <c r="J8" s="22"/>
      <c r="K8" s="22"/>
      <c r="L8" s="22"/>
    </row>
    <row r="9" spans="1:16" ht="21" x14ac:dyDescent="0.4">
      <c r="A9" s="3">
        <v>20017</v>
      </c>
      <c r="B9" s="4" t="s">
        <v>22</v>
      </c>
      <c r="C9" s="4">
        <v>26</v>
      </c>
      <c r="D9" s="5" t="s">
        <v>10</v>
      </c>
      <c r="E9" s="5" t="s">
        <v>11</v>
      </c>
      <c r="F9" s="5">
        <v>33000</v>
      </c>
      <c r="G9" s="5" t="s">
        <v>16</v>
      </c>
      <c r="H9" s="6">
        <v>9874563214</v>
      </c>
      <c r="J9" s="22">
        <v>20015</v>
      </c>
      <c r="K9" s="22" t="s">
        <v>50</v>
      </c>
      <c r="L9" s="22">
        <f>INDEX(A3:H15,MATCH(J9,A3:A15,0),MATCH(K9,A3:H3,0))</f>
        <v>15000</v>
      </c>
    </row>
    <row r="10" spans="1:16" ht="21" x14ac:dyDescent="0.4">
      <c r="A10" s="3">
        <v>20018</v>
      </c>
      <c r="B10" s="4" t="s">
        <v>23</v>
      </c>
      <c r="C10" s="4">
        <v>25</v>
      </c>
      <c r="D10" s="5" t="s">
        <v>18</v>
      </c>
      <c r="E10" s="5" t="s">
        <v>11</v>
      </c>
      <c r="F10" s="5">
        <v>21000</v>
      </c>
      <c r="G10" s="5" t="s">
        <v>12</v>
      </c>
      <c r="H10" s="6">
        <v>8974563214</v>
      </c>
    </row>
    <row r="11" spans="1:16" ht="21" x14ac:dyDescent="0.4">
      <c r="A11" s="3">
        <v>20019</v>
      </c>
      <c r="B11" s="4" t="s">
        <v>24</v>
      </c>
      <c r="C11" s="4">
        <v>26</v>
      </c>
      <c r="D11" s="5" t="s">
        <v>14</v>
      </c>
      <c r="E11" s="5" t="s">
        <v>15</v>
      </c>
      <c r="F11" s="5">
        <v>31500</v>
      </c>
      <c r="G11" s="5" t="s">
        <v>16</v>
      </c>
      <c r="H11" s="6">
        <v>8745968745</v>
      </c>
    </row>
    <row r="12" spans="1:16" ht="21" x14ac:dyDescent="0.4">
      <c r="A12" s="3">
        <v>20020</v>
      </c>
      <c r="B12" s="4" t="s">
        <v>25</v>
      </c>
      <c r="C12" s="4">
        <v>28</v>
      </c>
      <c r="D12" s="5" t="s">
        <v>14</v>
      </c>
      <c r="E12" s="5" t="s">
        <v>15</v>
      </c>
      <c r="F12" s="5">
        <v>40500</v>
      </c>
      <c r="G12" s="5" t="s">
        <v>12</v>
      </c>
      <c r="H12" s="6">
        <v>9874569874</v>
      </c>
    </row>
    <row r="13" spans="1:16" ht="21" x14ac:dyDescent="0.4">
      <c r="A13" s="3">
        <v>20021</v>
      </c>
      <c r="B13" s="4" t="s">
        <v>26</v>
      </c>
      <c r="C13" s="4">
        <v>27</v>
      </c>
      <c r="D13" s="5" t="s">
        <v>10</v>
      </c>
      <c r="E13" s="5" t="s">
        <v>11</v>
      </c>
      <c r="F13" s="5">
        <v>25500</v>
      </c>
      <c r="G13" s="5" t="s">
        <v>21</v>
      </c>
      <c r="H13" s="6">
        <v>8574965874</v>
      </c>
    </row>
    <row r="14" spans="1:16" ht="21" x14ac:dyDescent="0.4">
      <c r="A14" s="3">
        <v>20022</v>
      </c>
      <c r="B14" s="4" t="s">
        <v>27</v>
      </c>
      <c r="C14" s="4">
        <v>26</v>
      </c>
      <c r="D14" s="5" t="s">
        <v>14</v>
      </c>
      <c r="E14" s="5" t="s">
        <v>15</v>
      </c>
      <c r="F14" s="5">
        <v>18000</v>
      </c>
      <c r="G14" s="5" t="s">
        <v>21</v>
      </c>
      <c r="H14" s="6">
        <v>8521479632</v>
      </c>
    </row>
    <row r="15" spans="1:16" ht="21" x14ac:dyDescent="0.4">
      <c r="A15" s="3">
        <v>20023</v>
      </c>
      <c r="B15" s="4" t="s">
        <v>28</v>
      </c>
      <c r="C15" s="4">
        <v>27</v>
      </c>
      <c r="D15" s="5" t="s">
        <v>18</v>
      </c>
      <c r="E15" s="5" t="s">
        <v>11</v>
      </c>
      <c r="F15" s="5">
        <v>21000</v>
      </c>
      <c r="G15" s="5" t="s">
        <v>12</v>
      </c>
      <c r="H15" s="6">
        <v>8569745623</v>
      </c>
    </row>
  </sheetData>
  <mergeCells count="1">
    <mergeCell ref="A1:H2"/>
  </mergeCells>
  <dataValidations count="1">
    <dataValidation type="list" allowBlank="1" showInputMessage="1" showErrorMessage="1" sqref="A4:A15" xr:uid="{AF0AA866-706D-422F-89B7-9F3B01E59CD3}">
      <formula1>$D$4:$D$15</formula1>
    </dataValidation>
  </dataValidation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EF745-3DD9-4EBD-9BD3-24FF027AC75C}">
  <dimension ref="A1:S31"/>
  <sheetViews>
    <sheetView topLeftCell="A5" workbookViewId="0">
      <selection activeCell="H18" sqref="H18"/>
    </sheetView>
  </sheetViews>
  <sheetFormatPr defaultRowHeight="14.4" x14ac:dyDescent="0.3"/>
  <sheetData>
    <row r="1" spans="1:19" x14ac:dyDescent="0.3">
      <c r="A1" s="20" t="s">
        <v>0</v>
      </c>
      <c r="B1" s="20"/>
      <c r="C1" s="20"/>
      <c r="D1" s="20"/>
      <c r="E1" s="20"/>
      <c r="F1" s="20"/>
      <c r="G1" s="20"/>
      <c r="H1" s="20"/>
    </row>
    <row r="2" spans="1:19" x14ac:dyDescent="0.3">
      <c r="A2" s="21"/>
      <c r="B2" s="21"/>
      <c r="C2" s="21"/>
      <c r="D2" s="21"/>
      <c r="E2" s="21"/>
      <c r="F2" s="21"/>
      <c r="G2" s="21"/>
      <c r="H2" s="21"/>
    </row>
    <row r="3" spans="1:19" ht="23.4" x14ac:dyDescent="0.45">
      <c r="A3" s="1" t="s">
        <v>1</v>
      </c>
      <c r="B3" s="2" t="s">
        <v>2</v>
      </c>
      <c r="C3" s="2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K3" s="18" t="s">
        <v>92</v>
      </c>
      <c r="L3" s="8"/>
      <c r="M3" s="8"/>
      <c r="N3" s="8"/>
      <c r="O3" s="8"/>
      <c r="P3" s="8"/>
      <c r="Q3" s="8"/>
      <c r="R3" s="8"/>
      <c r="S3" s="8"/>
    </row>
    <row r="4" spans="1:19" ht="21" x14ac:dyDescent="0.4">
      <c r="A4" s="3">
        <v>20012</v>
      </c>
      <c r="B4" s="4" t="s">
        <v>9</v>
      </c>
      <c r="C4" s="4">
        <v>26</v>
      </c>
      <c r="D4" s="5" t="s">
        <v>10</v>
      </c>
      <c r="E4" s="5" t="s">
        <v>11</v>
      </c>
      <c r="F4" s="5">
        <v>26500</v>
      </c>
      <c r="G4" s="5" t="s">
        <v>12</v>
      </c>
      <c r="H4" s="6">
        <v>8877456987</v>
      </c>
      <c r="K4" s="24" t="s">
        <v>11</v>
      </c>
      <c r="L4" s="8" cm="1">
        <f t="array" ref="L4:S10">_xlfn._xlws.FILTER(XLOOKUP!A3:H15,XLOOKUP!E3:E15=K4)</f>
        <v>20012</v>
      </c>
      <c r="M4" s="8" t="str">
        <v>Kapil Sharma</v>
      </c>
      <c r="N4" s="8">
        <v>26</v>
      </c>
      <c r="O4" s="8" t="str">
        <v>Engineer</v>
      </c>
      <c r="P4" s="8" t="str">
        <v>Technical</v>
      </c>
      <c r="Q4" s="8">
        <v>26500</v>
      </c>
      <c r="R4" s="8" t="str">
        <v>Indore</v>
      </c>
      <c r="S4" s="8">
        <v>8877456987</v>
      </c>
    </row>
    <row r="5" spans="1:19" ht="21" x14ac:dyDescent="0.4">
      <c r="A5" s="3">
        <v>20013</v>
      </c>
      <c r="B5" s="4" t="s">
        <v>13</v>
      </c>
      <c r="C5" s="4">
        <v>25</v>
      </c>
      <c r="D5" s="5" t="s">
        <v>14</v>
      </c>
      <c r="E5" s="5" t="s">
        <v>15</v>
      </c>
      <c r="F5" s="5">
        <v>13000</v>
      </c>
      <c r="G5" s="5" t="s">
        <v>16</v>
      </c>
      <c r="H5" s="6">
        <v>8569741235</v>
      </c>
      <c r="K5" s="8"/>
      <c r="L5" s="8">
        <v>20014</v>
      </c>
      <c r="M5" s="8" t="str">
        <v>Kapil Singh</v>
      </c>
      <c r="N5" s="8">
        <v>28</v>
      </c>
      <c r="O5" s="8" t="str">
        <v>CAD Designer</v>
      </c>
      <c r="P5" s="8" t="str">
        <v>Technical</v>
      </c>
      <c r="Q5" s="8">
        <v>20000</v>
      </c>
      <c r="R5" s="8" t="str">
        <v>Indore</v>
      </c>
      <c r="S5" s="8">
        <v>7584963214</v>
      </c>
    </row>
    <row r="6" spans="1:19" ht="21" x14ac:dyDescent="0.4">
      <c r="A6" s="3">
        <v>20014</v>
      </c>
      <c r="B6" s="4" t="s">
        <v>17</v>
      </c>
      <c r="C6" s="4">
        <v>28</v>
      </c>
      <c r="D6" s="5" t="s">
        <v>18</v>
      </c>
      <c r="E6" s="5" t="s">
        <v>11</v>
      </c>
      <c r="F6" s="5">
        <v>20000</v>
      </c>
      <c r="G6" s="5" t="s">
        <v>12</v>
      </c>
      <c r="H6" s="6">
        <v>7584963214</v>
      </c>
      <c r="K6" s="8"/>
      <c r="L6" s="8">
        <v>20016</v>
      </c>
      <c r="M6" s="8" t="str">
        <v>Sunil Singh</v>
      </c>
      <c r="N6" s="8">
        <v>25</v>
      </c>
      <c r="O6" s="8" t="str">
        <v>Engineer</v>
      </c>
      <c r="P6" s="8" t="str">
        <v>Technical</v>
      </c>
      <c r="Q6" s="8">
        <v>20000</v>
      </c>
      <c r="R6" s="8" t="str">
        <v>ujjain</v>
      </c>
      <c r="S6" s="8">
        <v>8798654512</v>
      </c>
    </row>
    <row r="7" spans="1:19" ht="21" x14ac:dyDescent="0.4">
      <c r="A7" s="3">
        <v>20015</v>
      </c>
      <c r="B7" s="4" t="s">
        <v>19</v>
      </c>
      <c r="C7" s="4">
        <v>27</v>
      </c>
      <c r="D7" s="5" t="s">
        <v>14</v>
      </c>
      <c r="E7" s="5" t="s">
        <v>15</v>
      </c>
      <c r="F7" s="5">
        <v>15000</v>
      </c>
      <c r="G7" s="5" t="s">
        <v>16</v>
      </c>
      <c r="H7" s="6">
        <v>7788994455</v>
      </c>
      <c r="K7" s="8"/>
      <c r="L7" s="8">
        <v>20017</v>
      </c>
      <c r="M7" s="8" t="str">
        <v>Mohan Patel</v>
      </c>
      <c r="N7" s="8">
        <v>26</v>
      </c>
      <c r="O7" s="8" t="str">
        <v>Engineer</v>
      </c>
      <c r="P7" s="8" t="str">
        <v>Technical</v>
      </c>
      <c r="Q7" s="8">
        <v>33000</v>
      </c>
      <c r="R7" s="8" t="str">
        <v>Bhopal</v>
      </c>
      <c r="S7" s="8">
        <v>9874563214</v>
      </c>
    </row>
    <row r="8" spans="1:19" ht="21" x14ac:dyDescent="0.4">
      <c r="A8" s="3">
        <v>20016</v>
      </c>
      <c r="B8" s="4" t="s">
        <v>20</v>
      </c>
      <c r="C8" s="4">
        <v>25</v>
      </c>
      <c r="D8" s="5" t="s">
        <v>10</v>
      </c>
      <c r="E8" s="5" t="s">
        <v>11</v>
      </c>
      <c r="F8" s="5">
        <v>20000</v>
      </c>
      <c r="G8" s="5" t="s">
        <v>21</v>
      </c>
      <c r="H8" s="6">
        <v>8798654512</v>
      </c>
      <c r="K8" s="8"/>
      <c r="L8" s="8">
        <v>20018</v>
      </c>
      <c r="M8" s="8" t="str">
        <v>Ravi Verma</v>
      </c>
      <c r="N8" s="8">
        <v>25</v>
      </c>
      <c r="O8" s="8" t="str">
        <v>CAD Designer</v>
      </c>
      <c r="P8" s="8" t="str">
        <v>Technical</v>
      </c>
      <c r="Q8" s="8">
        <v>21000</v>
      </c>
      <c r="R8" s="8" t="str">
        <v>Indore</v>
      </c>
      <c r="S8" s="8">
        <v>8974563214</v>
      </c>
    </row>
    <row r="9" spans="1:19" ht="21" x14ac:dyDescent="0.4">
      <c r="A9" s="3">
        <v>20017</v>
      </c>
      <c r="B9" s="4" t="s">
        <v>22</v>
      </c>
      <c r="C9" s="4">
        <v>26</v>
      </c>
      <c r="D9" s="5" t="s">
        <v>10</v>
      </c>
      <c r="E9" s="5" t="s">
        <v>11</v>
      </c>
      <c r="F9" s="5">
        <v>33000</v>
      </c>
      <c r="G9" s="5" t="s">
        <v>16</v>
      </c>
      <c r="H9" s="6">
        <v>9874563214</v>
      </c>
      <c r="K9" s="8"/>
      <c r="L9" s="8">
        <v>20021</v>
      </c>
      <c r="M9" s="8" t="str">
        <v>Gopal Jat</v>
      </c>
      <c r="N9" s="8">
        <v>27</v>
      </c>
      <c r="O9" s="8" t="str">
        <v>Engineer</v>
      </c>
      <c r="P9" s="8" t="str">
        <v>Technical</v>
      </c>
      <c r="Q9" s="8">
        <v>25500</v>
      </c>
      <c r="R9" s="8" t="str">
        <v>ujjain</v>
      </c>
      <c r="S9" s="8">
        <v>8574965874</v>
      </c>
    </row>
    <row r="10" spans="1:19" ht="21" x14ac:dyDescent="0.4">
      <c r="A10" s="3">
        <v>20018</v>
      </c>
      <c r="B10" s="4" t="s">
        <v>23</v>
      </c>
      <c r="C10" s="4">
        <v>25</v>
      </c>
      <c r="D10" s="5" t="s">
        <v>18</v>
      </c>
      <c r="E10" s="5" t="s">
        <v>11</v>
      </c>
      <c r="F10" s="5">
        <v>21000</v>
      </c>
      <c r="G10" s="5" t="s">
        <v>12</v>
      </c>
      <c r="H10" s="6">
        <v>8974563214</v>
      </c>
      <c r="K10" s="8"/>
      <c r="L10" s="8">
        <v>20023</v>
      </c>
      <c r="M10" s="8" t="str">
        <v>Janwi Rai</v>
      </c>
      <c r="N10" s="8">
        <v>27</v>
      </c>
      <c r="O10" s="8" t="str">
        <v>CAD Designer</v>
      </c>
      <c r="P10" s="8" t="str">
        <v>Technical</v>
      </c>
      <c r="Q10" s="8">
        <v>21000</v>
      </c>
      <c r="R10" s="8" t="str">
        <v>Indore</v>
      </c>
      <c r="S10" s="8">
        <v>8569745623</v>
      </c>
    </row>
    <row r="11" spans="1:19" ht="21" x14ac:dyDescent="0.4">
      <c r="A11" s="3">
        <v>20019</v>
      </c>
      <c r="B11" s="4" t="s">
        <v>24</v>
      </c>
      <c r="C11" s="4">
        <v>26</v>
      </c>
      <c r="D11" s="5" t="s">
        <v>14</v>
      </c>
      <c r="E11" s="5" t="s">
        <v>15</v>
      </c>
      <c r="F11" s="5">
        <v>31500</v>
      </c>
      <c r="G11" s="5" t="s">
        <v>16</v>
      </c>
      <c r="H11" s="6">
        <v>8745968745</v>
      </c>
      <c r="K11" s="8"/>
      <c r="L11" s="8"/>
      <c r="M11" s="8"/>
      <c r="N11" s="8"/>
      <c r="O11" s="8"/>
      <c r="P11" s="8"/>
      <c r="Q11" s="8"/>
      <c r="R11" s="8"/>
      <c r="S11" s="8"/>
    </row>
    <row r="12" spans="1:19" ht="21" x14ac:dyDescent="0.4">
      <c r="A12" s="3">
        <v>20020</v>
      </c>
      <c r="B12" s="4" t="s">
        <v>25</v>
      </c>
      <c r="C12" s="4">
        <v>28</v>
      </c>
      <c r="D12" s="5" t="s">
        <v>14</v>
      </c>
      <c r="E12" s="5" t="s">
        <v>15</v>
      </c>
      <c r="F12" s="5">
        <v>40500</v>
      </c>
      <c r="G12" s="5" t="s">
        <v>12</v>
      </c>
      <c r="H12" s="6">
        <v>9874569874</v>
      </c>
      <c r="K12" s="24" t="s">
        <v>93</v>
      </c>
      <c r="L12" s="8" t="str" cm="1">
        <f t="array" ref="L12:S15">_xlfn._xlws.FILTER(XLOOKUP!A3:H15,XLOOKUP!F3:F15&gt;30000)</f>
        <v>Emp. ID</v>
      </c>
      <c r="M12" s="8" t="str">
        <v>Name</v>
      </c>
      <c r="N12" s="8" t="str">
        <v>Age</v>
      </c>
      <c r="O12" s="8" t="str">
        <v>Designation</v>
      </c>
      <c r="P12" s="8" t="str">
        <v>Department</v>
      </c>
      <c r="Q12" s="8" t="str">
        <v>Salary</v>
      </c>
      <c r="R12" s="8" t="str">
        <v>Place</v>
      </c>
      <c r="S12" s="8" t="str">
        <v>Mob.No.</v>
      </c>
    </row>
    <row r="13" spans="1:19" ht="21" x14ac:dyDescent="0.4">
      <c r="A13" s="3">
        <v>20021</v>
      </c>
      <c r="B13" s="4" t="s">
        <v>26</v>
      </c>
      <c r="C13" s="4">
        <v>27</v>
      </c>
      <c r="D13" s="5" t="s">
        <v>10</v>
      </c>
      <c r="E13" s="5" t="s">
        <v>11</v>
      </c>
      <c r="F13" s="5">
        <v>25500</v>
      </c>
      <c r="G13" s="5" t="s">
        <v>21</v>
      </c>
      <c r="H13" s="6">
        <v>8574965874</v>
      </c>
      <c r="K13" s="8"/>
      <c r="L13" s="8">
        <v>20017</v>
      </c>
      <c r="M13" s="8" t="str">
        <v>Mohan Patel</v>
      </c>
      <c r="N13" s="8">
        <v>26</v>
      </c>
      <c r="O13" s="8" t="str">
        <v>Engineer</v>
      </c>
      <c r="P13" s="8" t="str">
        <v>Technical</v>
      </c>
      <c r="Q13" s="8">
        <v>33000</v>
      </c>
      <c r="R13" s="8" t="str">
        <v>Bhopal</v>
      </c>
      <c r="S13" s="8">
        <v>9874563214</v>
      </c>
    </row>
    <row r="14" spans="1:19" ht="21" x14ac:dyDescent="0.4">
      <c r="A14" s="3">
        <v>20022</v>
      </c>
      <c r="B14" s="4" t="s">
        <v>27</v>
      </c>
      <c r="C14" s="4">
        <v>26</v>
      </c>
      <c r="D14" s="5" t="s">
        <v>14</v>
      </c>
      <c r="E14" s="5" t="s">
        <v>15</v>
      </c>
      <c r="F14" s="5">
        <v>18000</v>
      </c>
      <c r="G14" s="5" t="s">
        <v>21</v>
      </c>
      <c r="H14" s="6">
        <v>8521479632</v>
      </c>
      <c r="K14" s="8"/>
      <c r="L14" s="8">
        <v>20019</v>
      </c>
      <c r="M14" s="8" t="str">
        <v>Deepak Singh</v>
      </c>
      <c r="N14" s="8">
        <v>26</v>
      </c>
      <c r="O14" s="8" t="str">
        <v>Accountant</v>
      </c>
      <c r="P14" s="8" t="str">
        <v>Finance</v>
      </c>
      <c r="Q14" s="8">
        <v>31500</v>
      </c>
      <c r="R14" s="8" t="str">
        <v>Bhopal</v>
      </c>
      <c r="S14" s="8">
        <v>8745968745</v>
      </c>
    </row>
    <row r="15" spans="1:19" ht="21" x14ac:dyDescent="0.4">
      <c r="A15" s="3">
        <v>20023</v>
      </c>
      <c r="B15" s="4" t="s">
        <v>28</v>
      </c>
      <c r="C15" s="4">
        <v>27</v>
      </c>
      <c r="D15" s="5" t="s">
        <v>18</v>
      </c>
      <c r="E15" s="5" t="s">
        <v>11</v>
      </c>
      <c r="F15" s="5">
        <v>21000</v>
      </c>
      <c r="G15" s="5" t="s">
        <v>12</v>
      </c>
      <c r="H15" s="6">
        <v>8569745623</v>
      </c>
      <c r="K15" s="8"/>
      <c r="L15" s="8">
        <v>20020</v>
      </c>
      <c r="M15" s="8" t="str">
        <v>Vikas Patel</v>
      </c>
      <c r="N15" s="8">
        <v>28</v>
      </c>
      <c r="O15" s="8" t="str">
        <v>Accountant</v>
      </c>
      <c r="P15" s="8" t="str">
        <v>Finance</v>
      </c>
      <c r="Q15" s="8">
        <v>40500</v>
      </c>
      <c r="R15" s="8" t="str">
        <v>Indore</v>
      </c>
      <c r="S15" s="8">
        <v>9874569874</v>
      </c>
    </row>
    <row r="16" spans="1:19" x14ac:dyDescent="0.3">
      <c r="K16" s="8"/>
      <c r="L16" s="8"/>
      <c r="M16" s="8"/>
      <c r="N16" s="8"/>
      <c r="O16" s="8"/>
      <c r="P16" s="8"/>
      <c r="Q16" s="8"/>
      <c r="R16" s="8"/>
      <c r="S16" s="8"/>
    </row>
    <row r="17" spans="11:19" x14ac:dyDescent="0.3">
      <c r="K17" s="24" t="s">
        <v>16</v>
      </c>
      <c r="L17" s="8" cm="1">
        <f t="array" ref="L17:S20">_xlfn._xlws.FILTER(XLOOKUP!A3:H15,XLOOKUP!G3:G15=K17)</f>
        <v>20013</v>
      </c>
      <c r="M17" s="8" t="str">
        <v>Sunil Grover</v>
      </c>
      <c r="N17" s="8">
        <v>25</v>
      </c>
      <c r="O17" s="8" t="str">
        <v>Accountant</v>
      </c>
      <c r="P17" s="8" t="str">
        <v>Finance</v>
      </c>
      <c r="Q17" s="8">
        <v>13000</v>
      </c>
      <c r="R17" s="8" t="str">
        <v>Bhopal</v>
      </c>
      <c r="S17" s="8">
        <v>8569741235</v>
      </c>
    </row>
    <row r="18" spans="11:19" x14ac:dyDescent="0.3">
      <c r="K18" s="8"/>
      <c r="L18" s="8">
        <v>20015</v>
      </c>
      <c r="M18" s="8" t="str">
        <v>Ali Asgar</v>
      </c>
      <c r="N18" s="8">
        <v>27</v>
      </c>
      <c r="O18" s="8" t="str">
        <v>Accountant</v>
      </c>
      <c r="P18" s="8" t="str">
        <v>Finance</v>
      </c>
      <c r="Q18" s="8">
        <v>15000</v>
      </c>
      <c r="R18" s="8" t="str">
        <v>Bhopal</v>
      </c>
      <c r="S18" s="8">
        <v>7788994455</v>
      </c>
    </row>
    <row r="19" spans="11:19" x14ac:dyDescent="0.3">
      <c r="K19" s="8"/>
      <c r="L19" s="8">
        <v>20017</v>
      </c>
      <c r="M19" s="8" t="str">
        <v>Mohan Patel</v>
      </c>
      <c r="N19" s="8">
        <v>26</v>
      </c>
      <c r="O19" s="8" t="str">
        <v>Engineer</v>
      </c>
      <c r="P19" s="8" t="str">
        <v>Technical</v>
      </c>
      <c r="Q19" s="8">
        <v>33000</v>
      </c>
      <c r="R19" s="8" t="str">
        <v>Bhopal</v>
      </c>
      <c r="S19" s="8">
        <v>9874563214</v>
      </c>
    </row>
    <row r="20" spans="11:19" x14ac:dyDescent="0.3">
      <c r="K20" s="8"/>
      <c r="L20" s="8">
        <v>20019</v>
      </c>
      <c r="M20" s="8" t="str">
        <v>Deepak Singh</v>
      </c>
      <c r="N20" s="8">
        <v>26</v>
      </c>
      <c r="O20" s="8" t="str">
        <v>Accountant</v>
      </c>
      <c r="P20" s="8" t="str">
        <v>Finance</v>
      </c>
      <c r="Q20" s="8">
        <v>31500</v>
      </c>
      <c r="R20" s="8" t="str">
        <v>Bhopal</v>
      </c>
      <c r="S20" s="8">
        <v>8745968745</v>
      </c>
    </row>
    <row r="21" spans="11:19" x14ac:dyDescent="0.3">
      <c r="K21" s="8"/>
      <c r="L21" s="8"/>
      <c r="M21" s="8"/>
      <c r="N21" s="8"/>
      <c r="O21" s="8"/>
      <c r="P21" s="8"/>
      <c r="Q21" s="8"/>
      <c r="R21" s="8"/>
      <c r="S21" s="8"/>
    </row>
    <row r="22" spans="11:19" x14ac:dyDescent="0.3">
      <c r="K22" s="24" t="s">
        <v>94</v>
      </c>
      <c r="L22" s="8" t="str" cm="1">
        <f t="array" ref="L22:S31">_xlfn._xlws.FILTER(XLOOKUP!A3:H15,XLOOKUP!C3:C15&gt;25)</f>
        <v>Emp. ID</v>
      </c>
      <c r="M22" s="8" t="str">
        <v>Name</v>
      </c>
      <c r="N22" s="8" t="str">
        <v>Age</v>
      </c>
      <c r="O22" s="8" t="str">
        <v>Designation</v>
      </c>
      <c r="P22" s="8" t="str">
        <v>Department</v>
      </c>
      <c r="Q22" s="8" t="str">
        <v>Salary</v>
      </c>
      <c r="R22" s="8" t="str">
        <v>Place</v>
      </c>
      <c r="S22" s="8" t="str">
        <v>Mob.No.</v>
      </c>
    </row>
    <row r="23" spans="11:19" x14ac:dyDescent="0.3">
      <c r="K23" s="8"/>
      <c r="L23" s="8">
        <v>20012</v>
      </c>
      <c r="M23" s="8" t="str">
        <v>Kapil Sharma</v>
      </c>
      <c r="N23" s="8">
        <v>26</v>
      </c>
      <c r="O23" s="8" t="str">
        <v>Engineer</v>
      </c>
      <c r="P23" s="8" t="str">
        <v>Technical</v>
      </c>
      <c r="Q23" s="8">
        <v>26500</v>
      </c>
      <c r="R23" s="8" t="str">
        <v>Indore</v>
      </c>
      <c r="S23" s="8">
        <v>8877456987</v>
      </c>
    </row>
    <row r="24" spans="11:19" x14ac:dyDescent="0.3">
      <c r="K24" s="8"/>
      <c r="L24" s="8">
        <v>20014</v>
      </c>
      <c r="M24" s="8" t="str">
        <v>Kapil Singh</v>
      </c>
      <c r="N24" s="8">
        <v>28</v>
      </c>
      <c r="O24" s="8" t="str">
        <v>CAD Designer</v>
      </c>
      <c r="P24" s="8" t="str">
        <v>Technical</v>
      </c>
      <c r="Q24" s="8">
        <v>20000</v>
      </c>
      <c r="R24" s="8" t="str">
        <v>Indore</v>
      </c>
      <c r="S24" s="8">
        <v>7584963214</v>
      </c>
    </row>
    <row r="25" spans="11:19" x14ac:dyDescent="0.3">
      <c r="K25" s="8"/>
      <c r="L25" s="8">
        <v>20015</v>
      </c>
      <c r="M25" s="8" t="str">
        <v>Ali Asgar</v>
      </c>
      <c r="N25" s="8">
        <v>27</v>
      </c>
      <c r="O25" s="8" t="str">
        <v>Accountant</v>
      </c>
      <c r="P25" s="8" t="str">
        <v>Finance</v>
      </c>
      <c r="Q25" s="8">
        <v>15000</v>
      </c>
      <c r="R25" s="8" t="str">
        <v>Bhopal</v>
      </c>
      <c r="S25" s="8">
        <v>7788994455</v>
      </c>
    </row>
    <row r="26" spans="11:19" x14ac:dyDescent="0.3">
      <c r="K26" s="8"/>
      <c r="L26" s="8">
        <v>20017</v>
      </c>
      <c r="M26" s="8" t="str">
        <v>Mohan Patel</v>
      </c>
      <c r="N26" s="8">
        <v>26</v>
      </c>
      <c r="O26" s="8" t="str">
        <v>Engineer</v>
      </c>
      <c r="P26" s="8" t="str">
        <v>Technical</v>
      </c>
      <c r="Q26" s="8">
        <v>33000</v>
      </c>
      <c r="R26" s="8" t="str">
        <v>Bhopal</v>
      </c>
      <c r="S26" s="8">
        <v>9874563214</v>
      </c>
    </row>
    <row r="27" spans="11:19" x14ac:dyDescent="0.3">
      <c r="K27" s="8"/>
      <c r="L27" s="8">
        <v>20019</v>
      </c>
      <c r="M27" s="8" t="str">
        <v>Deepak Singh</v>
      </c>
      <c r="N27" s="8">
        <v>26</v>
      </c>
      <c r="O27" s="8" t="str">
        <v>Accountant</v>
      </c>
      <c r="P27" s="8" t="str">
        <v>Finance</v>
      </c>
      <c r="Q27" s="8">
        <v>31500</v>
      </c>
      <c r="R27" s="8" t="str">
        <v>Bhopal</v>
      </c>
      <c r="S27" s="8">
        <v>8745968745</v>
      </c>
    </row>
    <row r="28" spans="11:19" x14ac:dyDescent="0.3">
      <c r="K28" s="8"/>
      <c r="L28" s="8">
        <v>20020</v>
      </c>
      <c r="M28" s="8" t="str">
        <v>Vikas Patel</v>
      </c>
      <c r="N28" s="8">
        <v>28</v>
      </c>
      <c r="O28" s="8" t="str">
        <v>Accountant</v>
      </c>
      <c r="P28" s="8" t="str">
        <v>Finance</v>
      </c>
      <c r="Q28" s="8">
        <v>40500</v>
      </c>
      <c r="R28" s="8" t="str">
        <v>Indore</v>
      </c>
      <c r="S28" s="8">
        <v>9874569874</v>
      </c>
    </row>
    <row r="29" spans="11:19" x14ac:dyDescent="0.3">
      <c r="K29" s="8"/>
      <c r="L29" s="8">
        <v>20021</v>
      </c>
      <c r="M29" s="8" t="str">
        <v>Gopal Jat</v>
      </c>
      <c r="N29" s="8">
        <v>27</v>
      </c>
      <c r="O29" s="8" t="str">
        <v>Engineer</v>
      </c>
      <c r="P29" s="8" t="str">
        <v>Technical</v>
      </c>
      <c r="Q29" s="8">
        <v>25500</v>
      </c>
      <c r="R29" s="8" t="str">
        <v>ujjain</v>
      </c>
      <c r="S29" s="8">
        <v>8574965874</v>
      </c>
    </row>
    <row r="30" spans="11:19" x14ac:dyDescent="0.3">
      <c r="K30" s="8"/>
      <c r="L30" s="8">
        <v>20022</v>
      </c>
      <c r="M30" s="8" t="str">
        <v>Rohan Yadav</v>
      </c>
      <c r="N30" s="8">
        <v>26</v>
      </c>
      <c r="O30" s="8" t="str">
        <v>Accountant</v>
      </c>
      <c r="P30" s="8" t="str">
        <v>Finance</v>
      </c>
      <c r="Q30" s="8">
        <v>18000</v>
      </c>
      <c r="R30" s="8" t="str">
        <v>ujjain</v>
      </c>
      <c r="S30" s="8">
        <v>8521479632</v>
      </c>
    </row>
    <row r="31" spans="11:19" x14ac:dyDescent="0.3">
      <c r="K31" s="8"/>
      <c r="L31" s="8">
        <v>20023</v>
      </c>
      <c r="M31" s="8" t="str">
        <v>Janwi Rai</v>
      </c>
      <c r="N31" s="8">
        <v>27</v>
      </c>
      <c r="O31" s="8" t="str">
        <v>CAD Designer</v>
      </c>
      <c r="P31" s="8" t="str">
        <v>Technical</v>
      </c>
      <c r="Q31" s="8">
        <v>21000</v>
      </c>
      <c r="R31" s="8" t="str">
        <v>Indore</v>
      </c>
      <c r="S31" s="8">
        <v>8569745623</v>
      </c>
    </row>
  </sheetData>
  <mergeCells count="1">
    <mergeCell ref="A1:H2"/>
  </mergeCells>
  <dataValidations count="1">
    <dataValidation type="list" allowBlank="1" showInputMessage="1" showErrorMessage="1" sqref="A4:A15" xr:uid="{39BFEC72-C77D-4D99-A5DC-D26F9BA57C57}">
      <formula1>$D$4:$D$15</formula1>
    </dataValidation>
  </dataValidation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FAD28-7F2A-4E33-9C98-ED858DE79C42}">
  <dimension ref="A1:P17"/>
  <sheetViews>
    <sheetView tabSelected="1" workbookViewId="0">
      <selection activeCell="E19" sqref="E19"/>
    </sheetView>
  </sheetViews>
  <sheetFormatPr defaultRowHeight="14.4" x14ac:dyDescent="0.3"/>
  <cols>
    <col min="2" max="2" width="11" customWidth="1"/>
  </cols>
  <sheetData>
    <row r="1" spans="1:16" ht="15" thickBot="1" x14ac:dyDescent="0.35">
      <c r="A1" s="25" t="s">
        <v>47</v>
      </c>
      <c r="B1" s="25" t="s">
        <v>101</v>
      </c>
      <c r="C1" s="25" t="s">
        <v>50</v>
      </c>
      <c r="E1" s="25" t="s">
        <v>105</v>
      </c>
      <c r="L1" s="25" t="s">
        <v>109</v>
      </c>
    </row>
    <row r="2" spans="1:16" x14ac:dyDescent="0.3">
      <c r="A2" t="s">
        <v>95</v>
      </c>
      <c r="B2" t="s">
        <v>102</v>
      </c>
      <c r="C2">
        <v>35000</v>
      </c>
      <c r="E2" s="26">
        <v>1</v>
      </c>
      <c r="F2" s="27" t="s">
        <v>106</v>
      </c>
      <c r="G2" s="27"/>
      <c r="H2" s="27"/>
      <c r="I2" s="27"/>
      <c r="J2" s="27"/>
      <c r="K2" s="27"/>
      <c r="L2" s="27" t="str" cm="1">
        <f t="array" ref="L2:N3">_xlfn._xlws.FILTER(A1:C7,B1:B7="sales")</f>
        <v>amit</v>
      </c>
      <c r="M2" s="27" t="str">
        <v>sales</v>
      </c>
      <c r="N2" s="28">
        <v>35000</v>
      </c>
    </row>
    <row r="3" spans="1:16" ht="15" thickBot="1" x14ac:dyDescent="0.35">
      <c r="A3" t="s">
        <v>96</v>
      </c>
      <c r="B3" t="s">
        <v>103</v>
      </c>
      <c r="C3">
        <v>45000</v>
      </c>
      <c r="E3" s="32"/>
      <c r="F3" s="33"/>
      <c r="G3" s="33"/>
      <c r="H3" s="33"/>
      <c r="I3" s="33"/>
      <c r="J3" s="33"/>
      <c r="K3" s="33"/>
      <c r="L3" s="33" t="str">
        <v>mohit</v>
      </c>
      <c r="M3" s="33" t="str">
        <v>sales</v>
      </c>
      <c r="N3" s="34">
        <v>30000</v>
      </c>
    </row>
    <row r="4" spans="1:16" ht="15" thickBot="1" x14ac:dyDescent="0.35">
      <c r="A4" t="s">
        <v>97</v>
      </c>
      <c r="B4" t="s">
        <v>102</v>
      </c>
      <c r="C4">
        <v>30000</v>
      </c>
    </row>
    <row r="5" spans="1:16" x14ac:dyDescent="0.3">
      <c r="A5" t="s">
        <v>98</v>
      </c>
      <c r="B5" t="s">
        <v>104</v>
      </c>
      <c r="C5">
        <v>55000</v>
      </c>
      <c r="E5" s="26">
        <v>2</v>
      </c>
      <c r="F5" s="27" t="s">
        <v>107</v>
      </c>
      <c r="G5" s="27"/>
      <c r="H5" s="27"/>
      <c r="I5" s="27"/>
      <c r="J5" s="27"/>
      <c r="K5" s="27"/>
      <c r="L5" s="27" t="str" cm="1">
        <f t="array" ref="L5:N8">_xlfn._xlws.FILTER(A1:C7,C1:C7&gt;40000)</f>
        <v>name</v>
      </c>
      <c r="M5" s="27" t="str">
        <v>department</v>
      </c>
      <c r="N5" s="28" t="str">
        <v>salary</v>
      </c>
    </row>
    <row r="6" spans="1:16" x14ac:dyDescent="0.3">
      <c r="A6" t="s">
        <v>99</v>
      </c>
      <c r="B6" t="s">
        <v>103</v>
      </c>
      <c r="C6">
        <v>40000</v>
      </c>
      <c r="E6" s="29"/>
      <c r="F6" s="30"/>
      <c r="G6" s="30"/>
      <c r="H6" s="30"/>
      <c r="I6" s="30"/>
      <c r="J6" s="30"/>
      <c r="K6" s="30"/>
      <c r="L6" s="30" t="str">
        <v>riya</v>
      </c>
      <c r="M6" s="30" t="str">
        <v>hr</v>
      </c>
      <c r="N6" s="31">
        <v>45000</v>
      </c>
    </row>
    <row r="7" spans="1:16" x14ac:dyDescent="0.3">
      <c r="A7" t="s">
        <v>100</v>
      </c>
      <c r="B7" t="s">
        <v>104</v>
      </c>
      <c r="C7">
        <v>60000</v>
      </c>
      <c r="E7" s="29"/>
      <c r="F7" s="30"/>
      <c r="G7" s="30"/>
      <c r="H7" s="30"/>
      <c r="I7" s="30"/>
      <c r="J7" s="30"/>
      <c r="K7" s="30"/>
      <c r="L7" s="30" t="str">
        <v>neha</v>
      </c>
      <c r="M7" s="30" t="str">
        <v>it</v>
      </c>
      <c r="N7" s="31">
        <v>55000</v>
      </c>
    </row>
    <row r="8" spans="1:16" ht="15" thickBot="1" x14ac:dyDescent="0.35">
      <c r="E8" s="32"/>
      <c r="F8" s="33"/>
      <c r="G8" s="33"/>
      <c r="H8" s="33"/>
      <c r="I8" s="33"/>
      <c r="J8" s="33"/>
      <c r="K8" s="33"/>
      <c r="L8" s="33" t="str">
        <v>priti</v>
      </c>
      <c r="M8" s="33" t="str">
        <v>it</v>
      </c>
      <c r="N8" s="34">
        <v>60000</v>
      </c>
    </row>
    <row r="9" spans="1:16" ht="15" thickBot="1" x14ac:dyDescent="0.35"/>
    <row r="10" spans="1:16" x14ac:dyDescent="0.3">
      <c r="E10" s="26">
        <v>3</v>
      </c>
      <c r="F10" s="27" t="s">
        <v>108</v>
      </c>
      <c r="G10" s="27"/>
      <c r="H10" s="27"/>
      <c r="I10" s="27"/>
      <c r="J10" s="27"/>
      <c r="K10" s="27"/>
      <c r="L10" s="27" t="str" cm="1">
        <f t="array" ref="L10:N13">_xlfn._xlws.FILTER(A1:C7,(B1:B7="hr")+(B1:B7="it"))</f>
        <v>riya</v>
      </c>
      <c r="M10" s="27" t="str">
        <v>hr</v>
      </c>
      <c r="N10" s="28">
        <v>45000</v>
      </c>
    </row>
    <row r="11" spans="1:16" x14ac:dyDescent="0.3">
      <c r="E11" s="29"/>
      <c r="F11" s="30"/>
      <c r="G11" s="30"/>
      <c r="H11" s="30"/>
      <c r="I11" s="30"/>
      <c r="J11" s="30"/>
      <c r="K11" s="30"/>
      <c r="L11" s="30" t="str">
        <v>neha</v>
      </c>
      <c r="M11" s="30" t="str">
        <v>it</v>
      </c>
      <c r="N11" s="31">
        <v>55000</v>
      </c>
    </row>
    <row r="12" spans="1:16" x14ac:dyDescent="0.3">
      <c r="E12" s="29"/>
      <c r="F12" s="30"/>
      <c r="G12" s="30"/>
      <c r="H12" s="30"/>
      <c r="I12" s="30"/>
      <c r="J12" s="30"/>
      <c r="K12" s="30"/>
      <c r="L12" s="30" t="str">
        <v>sohan</v>
      </c>
      <c r="M12" s="30" t="str">
        <v>hr</v>
      </c>
      <c r="N12" s="31">
        <v>40000</v>
      </c>
    </row>
    <row r="13" spans="1:16" ht="15" thickBot="1" x14ac:dyDescent="0.35">
      <c r="E13" s="32"/>
      <c r="F13" s="33"/>
      <c r="G13" s="33"/>
      <c r="H13" s="33"/>
      <c r="I13" s="33"/>
      <c r="J13" s="33"/>
      <c r="K13" s="33"/>
      <c r="L13" s="33" t="str">
        <v>priti</v>
      </c>
      <c r="M13" s="33" t="str">
        <v>it</v>
      </c>
      <c r="N13" s="34">
        <v>60000</v>
      </c>
    </row>
    <row r="14" spans="1:16" ht="15" thickBot="1" x14ac:dyDescent="0.35"/>
    <row r="15" spans="1:16" ht="15" thickBot="1" x14ac:dyDescent="0.35">
      <c r="E15" s="35">
        <v>4</v>
      </c>
      <c r="F15" s="36" t="s">
        <v>110</v>
      </c>
      <c r="G15" s="36"/>
      <c r="H15" s="36"/>
      <c r="I15" s="36"/>
      <c r="J15" s="36"/>
      <c r="K15" s="36"/>
      <c r="L15" s="36"/>
      <c r="M15" s="36"/>
      <c r="N15" s="36" t="str" cm="1">
        <f t="array" ref="N15:P15">_xlfn._xlws.FILTER(A1:C7,(B1:B7="sales")*(C1:C7&gt;30000))</f>
        <v>amit</v>
      </c>
      <c r="O15" s="36" t="str">
        <v>sales</v>
      </c>
      <c r="P15" s="37">
        <v>35000</v>
      </c>
    </row>
    <row r="16" spans="1:16" ht="15" thickBot="1" x14ac:dyDescent="0.35"/>
    <row r="17" spans="5:16" ht="15" thickBot="1" x14ac:dyDescent="0.35">
      <c r="E17" s="35">
        <v>5</v>
      </c>
      <c r="F17" s="36" t="s">
        <v>111</v>
      </c>
      <c r="G17" s="36"/>
      <c r="H17" s="36"/>
      <c r="I17" s="36"/>
      <c r="J17" s="36"/>
      <c r="K17" s="36"/>
      <c r="L17" s="36"/>
      <c r="M17" s="36"/>
      <c r="N17" s="36" t="str" cm="1">
        <f t="array" ref="N17:P17">_xlfn._xlws.FILTER(A1:C7,(B1:B7="it")*(C1:C7&gt;55000))</f>
        <v>priti</v>
      </c>
      <c r="O17" s="36" t="str">
        <v>it</v>
      </c>
      <c r="P17" s="37">
        <v>60000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3FA34-1D7A-44D7-A24A-1AB024CECDEE}">
  <dimension ref="A1:K12"/>
  <sheetViews>
    <sheetView workbookViewId="0">
      <selection sqref="A1:F12"/>
    </sheetView>
  </sheetViews>
  <sheetFormatPr defaultRowHeight="14.4" x14ac:dyDescent="0.3"/>
  <cols>
    <col min="1" max="1" width="9.6640625" customWidth="1"/>
    <col min="2" max="2" width="14.88671875" customWidth="1"/>
    <col min="9" max="9" width="15" customWidth="1"/>
    <col min="10" max="10" width="11.77734375" customWidth="1"/>
  </cols>
  <sheetData>
    <row r="1" spans="1:11" x14ac:dyDescent="0.3">
      <c r="A1" s="18" t="s">
        <v>66</v>
      </c>
      <c r="B1" s="18" t="s">
        <v>59</v>
      </c>
      <c r="C1" s="18" t="s">
        <v>60</v>
      </c>
      <c r="D1" s="18" t="s">
        <v>61</v>
      </c>
      <c r="E1" s="18" t="s">
        <v>62</v>
      </c>
      <c r="F1" s="18" t="s">
        <v>85</v>
      </c>
      <c r="J1" s="19" t="s">
        <v>86</v>
      </c>
    </row>
    <row r="2" spans="1:11" x14ac:dyDescent="0.3">
      <c r="A2" s="17" t="s">
        <v>67</v>
      </c>
      <c r="B2" s="17" t="s">
        <v>76</v>
      </c>
      <c r="C2" s="17">
        <v>408</v>
      </c>
      <c r="D2" s="17">
        <v>174</v>
      </c>
      <c r="E2" s="17">
        <v>989</v>
      </c>
      <c r="F2" s="17">
        <f>SUM(C2:E2)</f>
        <v>1571</v>
      </c>
      <c r="H2" t="s">
        <v>70</v>
      </c>
      <c r="J2" t="str">
        <f>_xlfn.XLOOKUP(H2,A1:A10,B1:B10)</f>
        <v>SUGAR</v>
      </c>
    </row>
    <row r="3" spans="1:11" x14ac:dyDescent="0.3">
      <c r="A3" s="17" t="s">
        <v>68</v>
      </c>
      <c r="B3" s="17" t="s">
        <v>77</v>
      </c>
      <c r="C3" s="17">
        <v>196</v>
      </c>
      <c r="D3" s="17">
        <v>456</v>
      </c>
      <c r="E3" s="17">
        <v>777</v>
      </c>
      <c r="F3" s="17">
        <f t="shared" ref="F3:F10" si="0">SUM(C3:E3)</f>
        <v>1429</v>
      </c>
      <c r="H3" t="s">
        <v>68</v>
      </c>
      <c r="I3" t="s">
        <v>77</v>
      </c>
      <c r="J3" cm="1">
        <f t="array" ref="J3">_xlfn.XLOOKUP(H3&amp;I3,A1:A10&amp;B1:B10,F1:F10)</f>
        <v>1429</v>
      </c>
    </row>
    <row r="4" spans="1:11" x14ac:dyDescent="0.3">
      <c r="A4" s="17" t="s">
        <v>69</v>
      </c>
      <c r="B4" s="17" t="s">
        <v>78</v>
      </c>
      <c r="C4" s="17">
        <v>847</v>
      </c>
      <c r="D4" s="17">
        <v>181</v>
      </c>
      <c r="E4" s="17">
        <v>955</v>
      </c>
      <c r="F4" s="17">
        <f t="shared" si="0"/>
        <v>1983</v>
      </c>
      <c r="H4" t="s">
        <v>73</v>
      </c>
      <c r="J4" t="str" cm="1">
        <f t="array" ref="J4:K4">_xlfn.XLOOKUP(H4,A1:A10,CHOOSE({1,2},B1:B10,F1:F10))</f>
        <v>COLD DRINKS</v>
      </c>
      <c r="K4">
        <v>2267</v>
      </c>
    </row>
    <row r="5" spans="1:11" x14ac:dyDescent="0.3">
      <c r="A5" s="17" t="s">
        <v>70</v>
      </c>
      <c r="B5" s="17" t="s">
        <v>79</v>
      </c>
      <c r="C5" s="17">
        <v>914</v>
      </c>
      <c r="D5" s="17">
        <v>483</v>
      </c>
      <c r="E5" s="17">
        <v>145</v>
      </c>
      <c r="F5" s="17">
        <f t="shared" si="0"/>
        <v>1542</v>
      </c>
      <c r="H5" t="s">
        <v>72</v>
      </c>
      <c r="I5" t="s">
        <v>61</v>
      </c>
      <c r="J5" cm="1">
        <f t="array" ref="J5">_xlfn.XLOOKUP(H5,A1:A10,_xlfn.XLOOKUP(I5,A1:F1,A1:F10))</f>
        <v>782</v>
      </c>
    </row>
    <row r="6" spans="1:11" x14ac:dyDescent="0.3">
      <c r="A6" s="17" t="s">
        <v>71</v>
      </c>
      <c r="B6" s="17" t="s">
        <v>80</v>
      </c>
      <c r="C6" s="17">
        <v>965</v>
      </c>
      <c r="D6" s="17">
        <v>821</v>
      </c>
      <c r="E6" s="17">
        <v>506</v>
      </c>
      <c r="F6" s="17">
        <f t="shared" si="0"/>
        <v>2292</v>
      </c>
      <c r="H6" t="s">
        <v>79</v>
      </c>
      <c r="I6" t="s">
        <v>66</v>
      </c>
      <c r="K6" t="str" cm="1">
        <f t="array" ref="K6">_xlfn.XLOOKUP(H6,B1:B10,_xlfn.XLOOKUP(I6,A1:F1,A1:F10))</f>
        <v>XYZ004</v>
      </c>
    </row>
    <row r="7" spans="1:11" x14ac:dyDescent="0.3">
      <c r="A7" s="17" t="s">
        <v>72</v>
      </c>
      <c r="B7" s="17" t="s">
        <v>81</v>
      </c>
      <c r="C7" s="17">
        <v>210</v>
      </c>
      <c r="D7" s="17">
        <v>782</v>
      </c>
      <c r="E7" s="17">
        <v>539</v>
      </c>
      <c r="F7" s="17">
        <f t="shared" si="0"/>
        <v>1531</v>
      </c>
    </row>
    <row r="8" spans="1:11" x14ac:dyDescent="0.3">
      <c r="A8" s="17" t="s">
        <v>73</v>
      </c>
      <c r="B8" s="17" t="s">
        <v>82</v>
      </c>
      <c r="C8" s="17">
        <v>873</v>
      </c>
      <c r="D8" s="17">
        <v>503</v>
      </c>
      <c r="E8" s="17">
        <v>891</v>
      </c>
      <c r="F8" s="17">
        <f t="shared" si="0"/>
        <v>2267</v>
      </c>
    </row>
    <row r="9" spans="1:11" x14ac:dyDescent="0.3">
      <c r="A9" s="17" t="s">
        <v>74</v>
      </c>
      <c r="B9" s="17" t="s">
        <v>83</v>
      </c>
      <c r="C9" s="17">
        <v>972</v>
      </c>
      <c r="D9" s="17">
        <v>417</v>
      </c>
      <c r="E9" s="17">
        <v>941</v>
      </c>
      <c r="F9" s="17">
        <f t="shared" si="0"/>
        <v>2330</v>
      </c>
    </row>
    <row r="10" spans="1:11" x14ac:dyDescent="0.3">
      <c r="A10" s="17" t="s">
        <v>75</v>
      </c>
      <c r="B10" s="17" t="s">
        <v>84</v>
      </c>
      <c r="C10" s="17">
        <v>575</v>
      </c>
      <c r="D10" s="17">
        <v>632</v>
      </c>
      <c r="E10" s="17">
        <v>124</v>
      </c>
      <c r="F10" s="17">
        <f t="shared" si="0"/>
        <v>1331</v>
      </c>
    </row>
    <row r="11" spans="1:11" x14ac:dyDescent="0.3">
      <c r="A11" s="17"/>
      <c r="B11" s="17"/>
      <c r="C11" s="17"/>
      <c r="D11" s="17"/>
      <c r="E11" s="17"/>
      <c r="F11" s="17"/>
    </row>
    <row r="12" spans="1:11" x14ac:dyDescent="0.3">
      <c r="A12" s="17"/>
      <c r="B12" s="18" t="s">
        <v>85</v>
      </c>
      <c r="C12" s="17">
        <f>SUM(C2:C10)</f>
        <v>5960</v>
      </c>
      <c r="D12" s="17">
        <f t="shared" ref="D12:F12" si="1">SUM(D2:D10)</f>
        <v>4449</v>
      </c>
      <c r="E12" s="17">
        <f t="shared" si="1"/>
        <v>5867</v>
      </c>
      <c r="F12" s="17">
        <f t="shared" si="1"/>
        <v>16276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5C1A9-F0B0-466B-A28F-FB4B54301E49}">
  <dimension ref="A1:J12"/>
  <sheetViews>
    <sheetView workbookViewId="0">
      <selection activeCell="I9" sqref="I9"/>
    </sheetView>
  </sheetViews>
  <sheetFormatPr defaultRowHeight="14.4" x14ac:dyDescent="0.3"/>
  <sheetData>
    <row r="1" spans="1:10" x14ac:dyDescent="0.3">
      <c r="A1" s="18" t="s">
        <v>66</v>
      </c>
      <c r="B1" s="18" t="s">
        <v>59</v>
      </c>
      <c r="C1" s="18" t="s">
        <v>60</v>
      </c>
      <c r="D1" s="18" t="s">
        <v>61</v>
      </c>
      <c r="E1" s="18" t="s">
        <v>62</v>
      </c>
      <c r="F1" s="18"/>
    </row>
    <row r="2" spans="1:10" x14ac:dyDescent="0.3">
      <c r="A2" s="17" t="s">
        <v>67</v>
      </c>
      <c r="B2" s="17" t="s">
        <v>76</v>
      </c>
      <c r="C2" s="17">
        <v>408</v>
      </c>
      <c r="D2" s="17">
        <v>174</v>
      </c>
      <c r="E2" s="17">
        <v>989</v>
      </c>
      <c r="F2" s="17"/>
    </row>
    <row r="3" spans="1:10" x14ac:dyDescent="0.3">
      <c r="A3" s="17" t="s">
        <v>68</v>
      </c>
      <c r="B3" s="17" t="s">
        <v>77</v>
      </c>
      <c r="C3" s="17">
        <v>196</v>
      </c>
      <c r="D3" s="17">
        <v>456</v>
      </c>
      <c r="E3" s="17">
        <v>777</v>
      </c>
      <c r="F3" s="17"/>
      <c r="H3" s="8" t="s">
        <v>71</v>
      </c>
      <c r="I3" s="8" t="s">
        <v>87</v>
      </c>
      <c r="J3" s="8">
        <f>SUM(_xlfn.XLOOKUP(H3,A1:A10,C1:E10))</f>
        <v>2292</v>
      </c>
    </row>
    <row r="4" spans="1:10" x14ac:dyDescent="0.3">
      <c r="A4" s="17" t="s">
        <v>69</v>
      </c>
      <c r="B4" s="17" t="s">
        <v>78</v>
      </c>
      <c r="C4" s="17">
        <v>847</v>
      </c>
      <c r="D4" s="17">
        <v>181</v>
      </c>
      <c r="E4" s="17">
        <v>955</v>
      </c>
      <c r="F4" s="17"/>
      <c r="H4" s="8" t="s">
        <v>71</v>
      </c>
      <c r="I4" s="8" t="s">
        <v>88</v>
      </c>
      <c r="J4" s="8">
        <f>MIN(_xlfn.XLOOKUP(H3,A1:A10,C1:E10))</f>
        <v>506</v>
      </c>
    </row>
    <row r="5" spans="1:10" x14ac:dyDescent="0.3">
      <c r="A5" s="17" t="s">
        <v>70</v>
      </c>
      <c r="B5" s="17" t="s">
        <v>79</v>
      </c>
      <c r="C5" s="17">
        <v>914</v>
      </c>
      <c r="D5" s="17">
        <v>483</v>
      </c>
      <c r="E5" s="17">
        <v>145</v>
      </c>
      <c r="F5" s="17"/>
      <c r="H5" s="8" t="s">
        <v>71</v>
      </c>
      <c r="I5" s="8" t="s">
        <v>89</v>
      </c>
      <c r="J5" s="8">
        <f>MAX(_xlfn.XLOOKUP(H3,A1:A10,C1:E10))</f>
        <v>965</v>
      </c>
    </row>
    <row r="6" spans="1:10" x14ac:dyDescent="0.3">
      <c r="A6" s="17" t="s">
        <v>71</v>
      </c>
      <c r="B6" s="17" t="s">
        <v>80</v>
      </c>
      <c r="C6" s="17">
        <v>965</v>
      </c>
      <c r="D6" s="17">
        <v>821</v>
      </c>
      <c r="E6" s="17">
        <v>506</v>
      </c>
      <c r="F6" s="17"/>
      <c r="H6" s="8" t="s">
        <v>71</v>
      </c>
      <c r="I6" s="8" t="s">
        <v>90</v>
      </c>
      <c r="J6" s="8">
        <f>AVERAGE(_xlfn.XLOOKUP(H3,A1:A10,C1:E10))</f>
        <v>764</v>
      </c>
    </row>
    <row r="7" spans="1:10" x14ac:dyDescent="0.3">
      <c r="A7" s="17" t="s">
        <v>72</v>
      </c>
      <c r="B7" s="17" t="s">
        <v>81</v>
      </c>
      <c r="C7" s="17">
        <v>210</v>
      </c>
      <c r="D7" s="17">
        <v>782</v>
      </c>
      <c r="E7" s="17">
        <v>539</v>
      </c>
      <c r="F7" s="17"/>
    </row>
    <row r="8" spans="1:10" x14ac:dyDescent="0.3">
      <c r="A8" s="17" t="s">
        <v>73</v>
      </c>
      <c r="B8" s="17" t="s">
        <v>82</v>
      </c>
      <c r="C8" s="17">
        <v>873</v>
      </c>
      <c r="D8" s="17">
        <v>503</v>
      </c>
      <c r="E8" s="17">
        <v>891</v>
      </c>
      <c r="F8" s="17"/>
      <c r="H8" t="s">
        <v>79</v>
      </c>
      <c r="I8" t="s">
        <v>87</v>
      </c>
      <c r="J8">
        <f>SUM(_xlfn.XLOOKUP(H8,B1:B10,C1:E10))</f>
        <v>1542</v>
      </c>
    </row>
    <row r="9" spans="1:10" x14ac:dyDescent="0.3">
      <c r="A9" s="17" t="s">
        <v>74</v>
      </c>
      <c r="B9" s="17" t="s">
        <v>83</v>
      </c>
      <c r="C9" s="17">
        <v>972</v>
      </c>
      <c r="D9" s="17">
        <v>417</v>
      </c>
      <c r="E9" s="17">
        <v>941</v>
      </c>
      <c r="F9" s="17"/>
    </row>
    <row r="10" spans="1:10" x14ac:dyDescent="0.3">
      <c r="A10" s="17" t="s">
        <v>75</v>
      </c>
      <c r="B10" s="17" t="s">
        <v>84</v>
      </c>
      <c r="C10" s="17">
        <v>575</v>
      </c>
      <c r="D10" s="17">
        <v>632</v>
      </c>
      <c r="E10" s="17">
        <v>124</v>
      </c>
      <c r="F10" s="17"/>
    </row>
    <row r="11" spans="1:10" x14ac:dyDescent="0.3">
      <c r="A11" s="17"/>
      <c r="B11" s="17"/>
      <c r="C11" s="17"/>
      <c r="D11" s="17"/>
      <c r="E11" s="17"/>
      <c r="F11" s="17"/>
    </row>
    <row r="12" spans="1:10" x14ac:dyDescent="0.3">
      <c r="A12" s="17"/>
      <c r="B12" s="18" t="s">
        <v>85</v>
      </c>
      <c r="C12" s="17">
        <f>SUM(C2:C10)</f>
        <v>5960</v>
      </c>
      <c r="D12" s="17">
        <f t="shared" ref="D12:E12" si="0">SUM(D2:D10)</f>
        <v>4449</v>
      </c>
      <c r="E12" s="17">
        <f t="shared" si="0"/>
        <v>5867</v>
      </c>
      <c r="F12" s="17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970F2-2E0F-4094-AA10-73E834E8E998}">
  <dimension ref="B2:Q21"/>
  <sheetViews>
    <sheetView zoomScale="82" workbookViewId="0">
      <selection activeCell="B4" sqref="B4:B16"/>
    </sheetView>
  </sheetViews>
  <sheetFormatPr defaultRowHeight="14.4" x14ac:dyDescent="0.3"/>
  <cols>
    <col min="2" max="2" width="10.77734375" bestFit="1" customWidth="1"/>
    <col min="3" max="3" width="15" bestFit="1" customWidth="1"/>
    <col min="4" max="4" width="18" bestFit="1" customWidth="1"/>
    <col min="5" max="5" width="16.44140625" bestFit="1" customWidth="1"/>
    <col min="6" max="6" width="11.88671875" customWidth="1"/>
    <col min="7" max="7" width="11.6640625" customWidth="1"/>
    <col min="8" max="8" width="14.44140625" bestFit="1" customWidth="1"/>
    <col min="11" max="11" width="15" bestFit="1" customWidth="1"/>
    <col min="12" max="12" width="6.44140625" bestFit="1" customWidth="1"/>
    <col min="13" max="13" width="18" bestFit="1" customWidth="1"/>
    <col min="14" max="14" width="16.44140625" bestFit="1" customWidth="1"/>
    <col min="15" max="15" width="9" bestFit="1" customWidth="1"/>
    <col min="16" max="16" width="9.6640625" bestFit="1" customWidth="1"/>
    <col min="17" max="17" width="14.44140625" bestFit="1" customWidth="1"/>
  </cols>
  <sheetData>
    <row r="2" spans="2:17" x14ac:dyDescent="0.3">
      <c r="B2" s="20"/>
      <c r="C2" s="20"/>
      <c r="D2" s="20"/>
      <c r="E2" s="20"/>
      <c r="F2" s="20"/>
      <c r="G2" s="20"/>
      <c r="H2" s="20"/>
      <c r="K2" s="20"/>
      <c r="L2" s="20"/>
      <c r="M2" s="20"/>
      <c r="N2" s="20"/>
      <c r="O2" s="20"/>
      <c r="P2" s="20"/>
      <c r="Q2" s="20"/>
    </row>
    <row r="3" spans="2:17" x14ac:dyDescent="0.3">
      <c r="B3" s="21"/>
      <c r="C3" s="21"/>
      <c r="D3" s="21"/>
      <c r="E3" s="21"/>
      <c r="F3" s="21"/>
      <c r="G3" s="21"/>
      <c r="H3" s="21"/>
      <c r="K3" s="21"/>
      <c r="L3" s="21"/>
      <c r="M3" s="21"/>
      <c r="N3" s="21"/>
      <c r="O3" s="21"/>
      <c r="P3" s="21"/>
      <c r="Q3" s="21"/>
    </row>
    <row r="4" spans="2:17" ht="23.4" x14ac:dyDescent="0.45">
      <c r="B4" s="1" t="s">
        <v>1</v>
      </c>
      <c r="C4" s="2" t="s">
        <v>2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K4" s="2" t="s">
        <v>2</v>
      </c>
      <c r="L4" s="2" t="s">
        <v>3</v>
      </c>
      <c r="M4" s="1" t="s">
        <v>4</v>
      </c>
      <c r="N4" s="1" t="s">
        <v>5</v>
      </c>
      <c r="O4" s="1" t="s">
        <v>6</v>
      </c>
      <c r="P4" s="1" t="s">
        <v>7</v>
      </c>
      <c r="Q4" s="1" t="s">
        <v>8</v>
      </c>
    </row>
    <row r="5" spans="2:17" ht="21" x14ac:dyDescent="0.4">
      <c r="B5" s="3">
        <v>20012</v>
      </c>
      <c r="C5" s="4" t="s">
        <v>9</v>
      </c>
      <c r="D5" s="5" t="s">
        <v>10</v>
      </c>
      <c r="E5" s="5" t="s">
        <v>11</v>
      </c>
      <c r="F5" s="5">
        <v>26500</v>
      </c>
      <c r="G5" s="5" t="s">
        <v>12</v>
      </c>
      <c r="H5" s="6">
        <v>8877456987</v>
      </c>
      <c r="K5" s="4" t="s">
        <v>9</v>
      </c>
      <c r="L5" s="4">
        <v>26</v>
      </c>
      <c r="M5" s="5" t="s">
        <v>10</v>
      </c>
      <c r="N5" s="5" t="s">
        <v>11</v>
      </c>
      <c r="O5" s="5">
        <v>26500</v>
      </c>
      <c r="P5" s="5" t="s">
        <v>12</v>
      </c>
      <c r="Q5" s="6">
        <v>8877456987</v>
      </c>
    </row>
    <row r="6" spans="2:17" ht="21" x14ac:dyDescent="0.4">
      <c r="B6" s="3">
        <v>20013</v>
      </c>
      <c r="C6" s="4" t="s">
        <v>13</v>
      </c>
      <c r="D6" s="5" t="s">
        <v>14</v>
      </c>
      <c r="E6" s="5" t="s">
        <v>15</v>
      </c>
      <c r="F6" s="5">
        <v>13000</v>
      </c>
      <c r="G6" s="5" t="s">
        <v>16</v>
      </c>
      <c r="H6" s="6">
        <v>8569741235</v>
      </c>
      <c r="K6" s="4" t="s">
        <v>13</v>
      </c>
      <c r="L6" s="4">
        <v>25</v>
      </c>
      <c r="M6" s="5" t="s">
        <v>14</v>
      </c>
      <c r="N6" s="5" t="s">
        <v>15</v>
      </c>
      <c r="O6" s="5">
        <v>13000</v>
      </c>
      <c r="P6" s="5" t="s">
        <v>16</v>
      </c>
      <c r="Q6" s="6">
        <v>8569741235</v>
      </c>
    </row>
    <row r="7" spans="2:17" ht="21" x14ac:dyDescent="0.4">
      <c r="B7" s="3">
        <v>20014</v>
      </c>
      <c r="C7" s="4" t="s">
        <v>17</v>
      </c>
      <c r="D7" s="5" t="s">
        <v>18</v>
      </c>
      <c r="E7" s="5" t="s">
        <v>11</v>
      </c>
      <c r="F7" s="5">
        <v>20000</v>
      </c>
      <c r="G7" s="5" t="s">
        <v>12</v>
      </c>
      <c r="H7" s="6">
        <v>7584963214</v>
      </c>
      <c r="K7" s="4" t="s">
        <v>17</v>
      </c>
      <c r="L7" s="4">
        <v>28</v>
      </c>
      <c r="M7" s="5" t="s">
        <v>18</v>
      </c>
      <c r="N7" s="5" t="s">
        <v>11</v>
      </c>
      <c r="O7" s="5">
        <v>20000</v>
      </c>
      <c r="P7" s="5" t="s">
        <v>12</v>
      </c>
      <c r="Q7" s="6">
        <v>7584963214</v>
      </c>
    </row>
    <row r="8" spans="2:17" ht="21" x14ac:dyDescent="0.4">
      <c r="B8" s="3">
        <v>20015</v>
      </c>
      <c r="C8" s="4" t="s">
        <v>19</v>
      </c>
      <c r="D8" s="5" t="s">
        <v>14</v>
      </c>
      <c r="E8" s="5" t="s">
        <v>15</v>
      </c>
      <c r="F8" s="5">
        <v>15000</v>
      </c>
      <c r="G8" s="5" t="s">
        <v>16</v>
      </c>
      <c r="H8" s="6">
        <v>7788994455</v>
      </c>
      <c r="K8" s="4" t="s">
        <v>19</v>
      </c>
      <c r="L8" s="4">
        <v>27</v>
      </c>
      <c r="M8" s="5" t="s">
        <v>14</v>
      </c>
      <c r="N8" s="5" t="s">
        <v>15</v>
      </c>
      <c r="O8" s="5">
        <v>15000</v>
      </c>
      <c r="P8" s="5" t="s">
        <v>16</v>
      </c>
      <c r="Q8" s="6">
        <v>7788994455</v>
      </c>
    </row>
    <row r="9" spans="2:17" ht="21" x14ac:dyDescent="0.4">
      <c r="B9" s="3">
        <v>20016</v>
      </c>
      <c r="C9" s="4" t="s">
        <v>20</v>
      </c>
      <c r="D9" s="5" t="s">
        <v>10</v>
      </c>
      <c r="E9" s="5" t="s">
        <v>11</v>
      </c>
      <c r="F9" s="5">
        <v>20000</v>
      </c>
      <c r="G9" s="5" t="s">
        <v>21</v>
      </c>
      <c r="H9" s="6">
        <v>8798654512</v>
      </c>
      <c r="K9" s="4" t="s">
        <v>20</v>
      </c>
      <c r="L9" s="4">
        <v>25</v>
      </c>
      <c r="M9" s="5" t="s">
        <v>10</v>
      </c>
      <c r="N9" s="5" t="s">
        <v>11</v>
      </c>
      <c r="O9" s="5">
        <v>20000</v>
      </c>
      <c r="P9" s="5" t="s">
        <v>21</v>
      </c>
      <c r="Q9" s="6">
        <v>8798654512</v>
      </c>
    </row>
    <row r="10" spans="2:17" ht="21" x14ac:dyDescent="0.4">
      <c r="B10" s="3">
        <v>20017</v>
      </c>
      <c r="C10" s="4" t="s">
        <v>22</v>
      </c>
      <c r="D10" s="5" t="s">
        <v>10</v>
      </c>
      <c r="E10" s="5" t="s">
        <v>11</v>
      </c>
      <c r="F10" s="5">
        <v>33000</v>
      </c>
      <c r="G10" s="5" t="s">
        <v>16</v>
      </c>
      <c r="H10" s="6">
        <v>9874563214</v>
      </c>
      <c r="K10" s="4" t="s">
        <v>22</v>
      </c>
      <c r="L10" s="4">
        <v>26</v>
      </c>
      <c r="M10" s="5" t="s">
        <v>10</v>
      </c>
      <c r="N10" s="5" t="s">
        <v>11</v>
      </c>
      <c r="O10" s="5">
        <v>33000</v>
      </c>
      <c r="P10" s="5" t="s">
        <v>16</v>
      </c>
      <c r="Q10" s="6">
        <v>9874563214</v>
      </c>
    </row>
    <row r="11" spans="2:17" ht="21" x14ac:dyDescent="0.4">
      <c r="B11" s="3">
        <v>20018</v>
      </c>
      <c r="C11" s="4" t="s">
        <v>23</v>
      </c>
      <c r="D11" s="5" t="s">
        <v>18</v>
      </c>
      <c r="E11" s="5" t="s">
        <v>11</v>
      </c>
      <c r="F11" s="5">
        <v>21000</v>
      </c>
      <c r="G11" s="5" t="s">
        <v>12</v>
      </c>
      <c r="H11" s="6">
        <v>8974563214</v>
      </c>
      <c r="K11" s="4" t="s">
        <v>23</v>
      </c>
      <c r="L11" s="4">
        <v>25</v>
      </c>
      <c r="M11" s="5" t="s">
        <v>18</v>
      </c>
      <c r="N11" s="5" t="s">
        <v>11</v>
      </c>
      <c r="O11" s="5">
        <v>21000</v>
      </c>
      <c r="P11" s="5" t="s">
        <v>12</v>
      </c>
      <c r="Q11" s="6">
        <v>8974563214</v>
      </c>
    </row>
    <row r="12" spans="2:17" ht="21" x14ac:dyDescent="0.4">
      <c r="B12" s="3">
        <v>20019</v>
      </c>
      <c r="C12" s="4" t="s">
        <v>24</v>
      </c>
      <c r="D12" s="5" t="s">
        <v>14</v>
      </c>
      <c r="E12" s="5" t="s">
        <v>15</v>
      </c>
      <c r="F12" s="5">
        <v>31500</v>
      </c>
      <c r="G12" s="5" t="s">
        <v>16</v>
      </c>
      <c r="H12" s="6">
        <v>8745968745</v>
      </c>
      <c r="K12" s="4" t="s">
        <v>24</v>
      </c>
      <c r="L12" s="4">
        <v>26</v>
      </c>
      <c r="M12" s="5" t="s">
        <v>14</v>
      </c>
      <c r="N12" s="5" t="s">
        <v>15</v>
      </c>
      <c r="O12" s="5">
        <v>31500</v>
      </c>
      <c r="P12" s="5" t="s">
        <v>16</v>
      </c>
      <c r="Q12" s="6">
        <v>8745968745</v>
      </c>
    </row>
    <row r="13" spans="2:17" ht="21" x14ac:dyDescent="0.4">
      <c r="B13" s="3">
        <v>20020</v>
      </c>
      <c r="C13" s="4" t="s">
        <v>25</v>
      </c>
      <c r="D13" s="5" t="s">
        <v>14</v>
      </c>
      <c r="E13" s="5" t="s">
        <v>15</v>
      </c>
      <c r="F13" s="5">
        <v>40500</v>
      </c>
      <c r="G13" s="5" t="s">
        <v>12</v>
      </c>
      <c r="H13" s="6">
        <v>9874569874</v>
      </c>
      <c r="K13" s="4" t="s">
        <v>25</v>
      </c>
      <c r="L13" s="4">
        <v>28</v>
      </c>
      <c r="M13" s="5" t="s">
        <v>14</v>
      </c>
      <c r="N13" s="5" t="s">
        <v>15</v>
      </c>
      <c r="O13" s="5">
        <v>40500</v>
      </c>
      <c r="P13" s="5" t="s">
        <v>12</v>
      </c>
      <c r="Q13" s="6">
        <v>9874569874</v>
      </c>
    </row>
    <row r="14" spans="2:17" ht="21" x14ac:dyDescent="0.4">
      <c r="B14" s="3">
        <v>20021</v>
      </c>
      <c r="C14" s="4" t="s">
        <v>26</v>
      </c>
      <c r="D14" s="5" t="s">
        <v>10</v>
      </c>
      <c r="E14" s="5" t="s">
        <v>11</v>
      </c>
      <c r="F14" s="5">
        <v>25500</v>
      </c>
      <c r="G14" s="5" t="s">
        <v>21</v>
      </c>
      <c r="H14" s="6">
        <v>8574965874</v>
      </c>
      <c r="K14" s="4" t="s">
        <v>26</v>
      </c>
      <c r="L14" s="4">
        <v>27</v>
      </c>
      <c r="M14" s="5" t="s">
        <v>10</v>
      </c>
      <c r="N14" s="5" t="s">
        <v>11</v>
      </c>
      <c r="O14" s="5">
        <v>25500</v>
      </c>
      <c r="P14" s="5" t="s">
        <v>21</v>
      </c>
      <c r="Q14" s="6">
        <v>8574965874</v>
      </c>
    </row>
    <row r="15" spans="2:17" ht="21" x14ac:dyDescent="0.4">
      <c r="B15" s="3">
        <v>20022</v>
      </c>
      <c r="C15" s="4" t="s">
        <v>27</v>
      </c>
      <c r="D15" s="5" t="s">
        <v>14</v>
      </c>
      <c r="E15" s="5" t="s">
        <v>15</v>
      </c>
      <c r="F15" s="5">
        <v>18000</v>
      </c>
      <c r="G15" s="5" t="s">
        <v>21</v>
      </c>
      <c r="H15" s="6">
        <v>8521479632</v>
      </c>
      <c r="K15" s="4" t="s">
        <v>27</v>
      </c>
      <c r="L15" s="4">
        <v>26</v>
      </c>
      <c r="M15" s="5" t="s">
        <v>14</v>
      </c>
      <c r="N15" s="5" t="s">
        <v>15</v>
      </c>
      <c r="O15" s="5">
        <v>18000</v>
      </c>
      <c r="P15" s="5" t="s">
        <v>21</v>
      </c>
      <c r="Q15" s="6">
        <v>8521479632</v>
      </c>
    </row>
    <row r="16" spans="2:17" ht="21" x14ac:dyDescent="0.4">
      <c r="B16" s="3">
        <v>20023</v>
      </c>
      <c r="C16" s="4" t="s">
        <v>28</v>
      </c>
      <c r="D16" s="5" t="s">
        <v>18</v>
      </c>
      <c r="E16" s="5" t="s">
        <v>11</v>
      </c>
      <c r="F16" s="5">
        <v>21000</v>
      </c>
      <c r="G16" s="5" t="s">
        <v>12</v>
      </c>
      <c r="H16" s="6">
        <v>8569745623</v>
      </c>
      <c r="K16" s="4" t="s">
        <v>28</v>
      </c>
      <c r="L16" s="4">
        <v>27</v>
      </c>
      <c r="M16" s="5" t="s">
        <v>18</v>
      </c>
      <c r="N16" s="5" t="s">
        <v>11</v>
      </c>
      <c r="O16" s="5">
        <v>21000</v>
      </c>
      <c r="P16" s="5" t="s">
        <v>12</v>
      </c>
      <c r="Q16" s="6">
        <v>8569745623</v>
      </c>
    </row>
    <row r="19" spans="3:7" ht="21" x14ac:dyDescent="0.4">
      <c r="D19">
        <f>VLOOKUP(VLOOKUP(B8,B4:H16,2,0),K4:Q16,2,0)</f>
        <v>27</v>
      </c>
      <c r="G19" s="14" t="s">
        <v>51</v>
      </c>
    </row>
    <row r="20" spans="3:7" ht="18" x14ac:dyDescent="0.35">
      <c r="C20" s="13" t="s">
        <v>47</v>
      </c>
      <c r="D20" t="str">
        <f>VLOOKUP(VLOOKUP(B11,B4:H16,2,0),K4:Q16,MATCH(C20,K4:Q4,0))</f>
        <v>Ravi Verma</v>
      </c>
      <c r="F20">
        <v>200200</v>
      </c>
      <c r="G20" t="str">
        <f>IFERROR(VLOOKUP(F20,B4:H16,2,0),"not found")</f>
        <v>not found</v>
      </c>
    </row>
    <row r="21" spans="3:7" x14ac:dyDescent="0.3">
      <c r="F21">
        <v>200117</v>
      </c>
      <c r="G21" t="str">
        <f>IFERROR(VLOOKUP(VLOOKUP(F21,B4:H16,2,0),K4:Q16,2,),"none")</f>
        <v>none</v>
      </c>
    </row>
  </sheetData>
  <mergeCells count="2">
    <mergeCell ref="B2:H3"/>
    <mergeCell ref="K2:Q3"/>
  </mergeCells>
  <dataValidations count="1">
    <dataValidation type="list" allowBlank="1" showInputMessage="1" showErrorMessage="1" sqref="B5:B16" xr:uid="{D879F271-472A-4522-B1DE-38B4DA064CE4}">
      <formula1>#REF!</formula1>
    </dataValidation>
  </dataValidations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F061D-9BD5-454B-80FE-B45F72EC2290}">
  <dimension ref="A1:P21"/>
  <sheetViews>
    <sheetView zoomScale="76" workbookViewId="0">
      <selection activeCell="B23" sqref="B23"/>
    </sheetView>
  </sheetViews>
  <sheetFormatPr defaultRowHeight="14.4" x14ac:dyDescent="0.3"/>
  <cols>
    <col min="1" max="1" width="15" bestFit="1" customWidth="1"/>
    <col min="2" max="2" width="18.109375" bestFit="1" customWidth="1"/>
    <col min="3" max="3" width="16.44140625" bestFit="1" customWidth="1"/>
    <col min="4" max="4" width="9" bestFit="1" customWidth="1"/>
    <col min="5" max="5" width="9.77734375" bestFit="1" customWidth="1"/>
    <col min="6" max="6" width="14.44140625" bestFit="1" customWidth="1"/>
    <col min="7" max="7" width="14.5546875" bestFit="1" customWidth="1"/>
    <col min="9" max="9" width="15" bestFit="1" customWidth="1"/>
    <col min="10" max="10" width="15.5546875" bestFit="1" customWidth="1"/>
    <col min="11" max="11" width="6.6640625" bestFit="1" customWidth="1"/>
    <col min="12" max="12" width="18" bestFit="1" customWidth="1"/>
    <col min="13" max="13" width="16.44140625" bestFit="1" customWidth="1"/>
    <col min="14" max="14" width="9" bestFit="1" customWidth="1"/>
    <col min="15" max="15" width="9.88671875" bestFit="1" customWidth="1"/>
    <col min="16" max="16" width="14.5546875" bestFit="1" customWidth="1"/>
  </cols>
  <sheetData>
    <row r="1" spans="1:16" ht="23.4" x14ac:dyDescent="0.45">
      <c r="A1" s="2" t="s">
        <v>2</v>
      </c>
      <c r="B1" s="1" t="s">
        <v>1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J1" s="2" t="s">
        <v>2</v>
      </c>
      <c r="K1" s="2" t="s">
        <v>3</v>
      </c>
      <c r="L1" s="1" t="s">
        <v>4</v>
      </c>
      <c r="M1" s="1" t="s">
        <v>5</v>
      </c>
      <c r="N1" s="1" t="s">
        <v>6</v>
      </c>
      <c r="O1" s="1" t="s">
        <v>7</v>
      </c>
      <c r="P1" s="1" t="s">
        <v>8</v>
      </c>
    </row>
    <row r="2" spans="1:16" ht="21" x14ac:dyDescent="0.4">
      <c r="A2" s="4" t="s">
        <v>9</v>
      </c>
      <c r="B2" s="3">
        <v>20012</v>
      </c>
      <c r="C2" s="5" t="s">
        <v>10</v>
      </c>
      <c r="D2" s="5" t="s">
        <v>11</v>
      </c>
      <c r="E2" s="5">
        <v>26500</v>
      </c>
      <c r="F2" s="5" t="s">
        <v>12</v>
      </c>
      <c r="G2" s="6">
        <v>8877456987</v>
      </c>
      <c r="J2" s="4" t="s">
        <v>9</v>
      </c>
      <c r="K2" s="4">
        <v>26</v>
      </c>
      <c r="L2" s="5" t="s">
        <v>10</v>
      </c>
      <c r="M2" s="5" t="s">
        <v>11</v>
      </c>
      <c r="N2" s="5">
        <v>26500</v>
      </c>
      <c r="O2" s="5" t="s">
        <v>12</v>
      </c>
      <c r="P2" s="6">
        <v>8877456987</v>
      </c>
    </row>
    <row r="3" spans="1:16" ht="21" x14ac:dyDescent="0.4">
      <c r="A3" s="4" t="s">
        <v>13</v>
      </c>
      <c r="B3" s="3">
        <v>20013</v>
      </c>
      <c r="C3" s="5" t="s">
        <v>14</v>
      </c>
      <c r="D3" s="5" t="s">
        <v>15</v>
      </c>
      <c r="E3" s="5">
        <v>13000</v>
      </c>
      <c r="F3" s="5" t="s">
        <v>16</v>
      </c>
      <c r="G3" s="6">
        <v>8569741235</v>
      </c>
      <c r="J3" s="4" t="s">
        <v>13</v>
      </c>
      <c r="K3" s="4">
        <v>25</v>
      </c>
      <c r="L3" s="5" t="s">
        <v>14</v>
      </c>
      <c r="M3" s="5" t="s">
        <v>15</v>
      </c>
      <c r="N3" s="5">
        <v>13000</v>
      </c>
      <c r="O3" s="5" t="s">
        <v>16</v>
      </c>
      <c r="P3" s="6">
        <v>8569741235</v>
      </c>
    </row>
    <row r="4" spans="1:16" ht="21" x14ac:dyDescent="0.4">
      <c r="A4" s="4" t="s">
        <v>17</v>
      </c>
      <c r="B4" s="3">
        <v>20014</v>
      </c>
      <c r="C4" s="5" t="s">
        <v>18</v>
      </c>
      <c r="D4" s="5" t="s">
        <v>11</v>
      </c>
      <c r="E4" s="5">
        <v>20000</v>
      </c>
      <c r="F4" s="5" t="s">
        <v>12</v>
      </c>
      <c r="G4" s="6">
        <v>7584963214</v>
      </c>
      <c r="J4" s="4" t="s">
        <v>17</v>
      </c>
      <c r="K4" s="4">
        <v>28</v>
      </c>
      <c r="L4" s="5" t="s">
        <v>18</v>
      </c>
      <c r="M4" s="5" t="s">
        <v>11</v>
      </c>
      <c r="N4" s="5">
        <v>20000</v>
      </c>
      <c r="O4" s="5" t="s">
        <v>12</v>
      </c>
      <c r="P4" s="6">
        <v>7584963214</v>
      </c>
    </row>
    <row r="5" spans="1:16" ht="21" x14ac:dyDescent="0.4">
      <c r="A5" s="4" t="s">
        <v>19</v>
      </c>
      <c r="B5" s="3">
        <v>20015</v>
      </c>
      <c r="C5" s="5" t="s">
        <v>14</v>
      </c>
      <c r="D5" s="5" t="s">
        <v>15</v>
      </c>
      <c r="E5" s="5">
        <v>15000</v>
      </c>
      <c r="F5" s="5" t="s">
        <v>16</v>
      </c>
      <c r="G5" s="6">
        <v>7788994455</v>
      </c>
      <c r="J5" s="4" t="s">
        <v>19</v>
      </c>
      <c r="K5" s="4">
        <v>27</v>
      </c>
      <c r="L5" s="5" t="s">
        <v>14</v>
      </c>
      <c r="M5" s="5" t="s">
        <v>15</v>
      </c>
      <c r="N5" s="5">
        <v>15000</v>
      </c>
      <c r="O5" s="5" t="s">
        <v>16</v>
      </c>
      <c r="P5" s="6">
        <v>7788994455</v>
      </c>
    </row>
    <row r="6" spans="1:16" ht="21" x14ac:dyDescent="0.4">
      <c r="A6" s="4" t="s">
        <v>20</v>
      </c>
      <c r="B6" s="3">
        <v>20016</v>
      </c>
      <c r="C6" s="5" t="s">
        <v>10</v>
      </c>
      <c r="D6" s="5" t="s">
        <v>11</v>
      </c>
      <c r="E6" s="5">
        <v>20000</v>
      </c>
      <c r="F6" s="5" t="s">
        <v>21</v>
      </c>
      <c r="G6" s="6">
        <v>8798654512</v>
      </c>
      <c r="J6" s="4" t="s">
        <v>20</v>
      </c>
      <c r="K6" s="4">
        <v>25</v>
      </c>
      <c r="L6" s="5" t="s">
        <v>10</v>
      </c>
      <c r="M6" s="5" t="s">
        <v>11</v>
      </c>
      <c r="N6" s="5">
        <v>20000</v>
      </c>
      <c r="O6" s="5" t="s">
        <v>21</v>
      </c>
      <c r="P6" s="6">
        <v>8798654512</v>
      </c>
    </row>
    <row r="7" spans="1:16" ht="21" x14ac:dyDescent="0.4">
      <c r="A7" s="4" t="s">
        <v>22</v>
      </c>
      <c r="B7" s="3">
        <v>20017</v>
      </c>
      <c r="C7" s="5" t="s">
        <v>10</v>
      </c>
      <c r="D7" s="5" t="s">
        <v>11</v>
      </c>
      <c r="E7" s="5">
        <v>33000</v>
      </c>
      <c r="F7" s="5" t="s">
        <v>16</v>
      </c>
      <c r="G7" s="6">
        <v>9874563214</v>
      </c>
      <c r="J7" s="4" t="s">
        <v>22</v>
      </c>
      <c r="K7" s="4">
        <v>26</v>
      </c>
      <c r="L7" s="5" t="s">
        <v>10</v>
      </c>
      <c r="M7" s="5" t="s">
        <v>11</v>
      </c>
      <c r="N7" s="5">
        <v>33000</v>
      </c>
      <c r="O7" s="5" t="s">
        <v>16</v>
      </c>
      <c r="P7" s="6">
        <v>9874563214</v>
      </c>
    </row>
    <row r="8" spans="1:16" ht="21" x14ac:dyDescent="0.4">
      <c r="A8" s="4" t="s">
        <v>23</v>
      </c>
      <c r="B8" s="3">
        <v>20018</v>
      </c>
      <c r="C8" s="5" t="s">
        <v>18</v>
      </c>
      <c r="D8" s="5" t="s">
        <v>11</v>
      </c>
      <c r="E8" s="5">
        <v>21000</v>
      </c>
      <c r="F8" s="5" t="s">
        <v>12</v>
      </c>
      <c r="G8" s="6">
        <v>8974563214</v>
      </c>
      <c r="J8" s="4" t="s">
        <v>23</v>
      </c>
      <c r="K8" s="4">
        <v>25</v>
      </c>
      <c r="L8" s="5" t="s">
        <v>18</v>
      </c>
      <c r="M8" s="5" t="s">
        <v>11</v>
      </c>
      <c r="N8" s="5">
        <v>21000</v>
      </c>
      <c r="O8" s="5" t="s">
        <v>12</v>
      </c>
      <c r="P8" s="6">
        <v>8974563214</v>
      </c>
    </row>
    <row r="9" spans="1:16" ht="21" x14ac:dyDescent="0.4">
      <c r="A9" s="4" t="s">
        <v>24</v>
      </c>
      <c r="B9" s="3">
        <v>20019</v>
      </c>
      <c r="C9" s="5" t="s">
        <v>14</v>
      </c>
      <c r="D9" s="5" t="s">
        <v>15</v>
      </c>
      <c r="E9" s="5">
        <v>31500</v>
      </c>
      <c r="F9" s="5" t="s">
        <v>16</v>
      </c>
      <c r="G9" s="6">
        <v>8745968745</v>
      </c>
      <c r="J9" s="4" t="s">
        <v>24</v>
      </c>
      <c r="K9" s="4">
        <v>26</v>
      </c>
      <c r="L9" s="5" t="s">
        <v>14</v>
      </c>
      <c r="M9" s="5" t="s">
        <v>15</v>
      </c>
      <c r="N9" s="5">
        <v>31500</v>
      </c>
      <c r="O9" s="5" t="s">
        <v>16</v>
      </c>
      <c r="P9" s="6">
        <v>8745968745</v>
      </c>
    </row>
    <row r="10" spans="1:16" ht="21" x14ac:dyDescent="0.4">
      <c r="A10" s="4" t="s">
        <v>25</v>
      </c>
      <c r="B10" s="3">
        <v>20020</v>
      </c>
      <c r="C10" s="5" t="s">
        <v>14</v>
      </c>
      <c r="D10" s="5" t="s">
        <v>15</v>
      </c>
      <c r="E10" s="5">
        <v>40500</v>
      </c>
      <c r="F10" s="5" t="s">
        <v>12</v>
      </c>
      <c r="G10" s="6">
        <v>9874569874</v>
      </c>
      <c r="J10" s="4" t="s">
        <v>25</v>
      </c>
      <c r="K10" s="4">
        <v>28</v>
      </c>
      <c r="L10" s="5" t="s">
        <v>14</v>
      </c>
      <c r="M10" s="5" t="s">
        <v>15</v>
      </c>
      <c r="N10" s="5">
        <v>40500</v>
      </c>
      <c r="O10" s="5" t="s">
        <v>12</v>
      </c>
      <c r="P10" s="6">
        <v>9874569874</v>
      </c>
    </row>
    <row r="11" spans="1:16" ht="21" x14ac:dyDescent="0.4">
      <c r="A11" s="4" t="s">
        <v>26</v>
      </c>
      <c r="B11" s="3">
        <v>20021</v>
      </c>
      <c r="C11" s="5" t="s">
        <v>10</v>
      </c>
      <c r="D11" s="5" t="s">
        <v>11</v>
      </c>
      <c r="E11" s="5">
        <v>25500</v>
      </c>
      <c r="F11" s="5" t="s">
        <v>21</v>
      </c>
      <c r="G11" s="6">
        <v>8574965874</v>
      </c>
      <c r="J11" s="4" t="s">
        <v>26</v>
      </c>
      <c r="K11" s="4">
        <v>27</v>
      </c>
      <c r="L11" s="5" t="s">
        <v>10</v>
      </c>
      <c r="M11" s="5" t="s">
        <v>11</v>
      </c>
      <c r="N11" s="5">
        <v>25500</v>
      </c>
      <c r="O11" s="5" t="s">
        <v>21</v>
      </c>
      <c r="P11" s="6">
        <v>8574965874</v>
      </c>
    </row>
    <row r="12" spans="1:16" ht="21" x14ac:dyDescent="0.4">
      <c r="A12" s="4" t="s">
        <v>27</v>
      </c>
      <c r="B12" s="3">
        <v>20022</v>
      </c>
      <c r="C12" s="5" t="s">
        <v>14</v>
      </c>
      <c r="D12" s="5" t="s">
        <v>15</v>
      </c>
      <c r="E12" s="5">
        <v>18000</v>
      </c>
      <c r="F12" s="5" t="s">
        <v>21</v>
      </c>
      <c r="G12" s="6">
        <v>8521479632</v>
      </c>
      <c r="J12" s="4" t="s">
        <v>27</v>
      </c>
      <c r="K12" s="4">
        <v>26</v>
      </c>
      <c r="L12" s="5" t="s">
        <v>14</v>
      </c>
      <c r="M12" s="5" t="s">
        <v>15</v>
      </c>
      <c r="N12" s="5">
        <v>18000</v>
      </c>
      <c r="O12" s="5" t="s">
        <v>21</v>
      </c>
      <c r="P12" s="6">
        <v>8521479632</v>
      </c>
    </row>
    <row r="13" spans="1:16" ht="21" x14ac:dyDescent="0.4">
      <c r="A13" s="4" t="s">
        <v>28</v>
      </c>
      <c r="B13" s="3">
        <v>20023</v>
      </c>
      <c r="C13" s="5" t="s">
        <v>18</v>
      </c>
      <c r="D13" s="5" t="s">
        <v>11</v>
      </c>
      <c r="E13" s="5">
        <v>21000</v>
      </c>
      <c r="F13" s="5" t="s">
        <v>12</v>
      </c>
      <c r="G13" s="6">
        <v>8569745623</v>
      </c>
      <c r="J13" s="4" t="s">
        <v>28</v>
      </c>
      <c r="K13" s="4">
        <v>27</v>
      </c>
      <c r="L13" s="5" t="s">
        <v>18</v>
      </c>
      <c r="M13" s="5" t="s">
        <v>11</v>
      </c>
      <c r="N13" s="5">
        <v>21000</v>
      </c>
      <c r="O13" s="5" t="s">
        <v>12</v>
      </c>
      <c r="P13" s="6">
        <v>8569745623</v>
      </c>
    </row>
    <row r="17" spans="2:5" x14ac:dyDescent="0.3">
      <c r="B17">
        <v>20017</v>
      </c>
      <c r="C17">
        <f>VLOOKUP(VLOOKUP(B17,CHOOSE({1,2},B1:B13,A1:A13),2,0),J1:P13,2,0)</f>
        <v>26</v>
      </c>
    </row>
    <row r="19" spans="2:5" x14ac:dyDescent="0.3">
      <c r="B19">
        <v>20013</v>
      </c>
      <c r="C19" cm="1">
        <f t="array" ref="C19:E19">VLOOKUP(VLOOKUP(B19,CHOOSE({1,2},B1:B13,A1:A13),2,0),J1:P13,{2,4,7},0)</f>
        <v>25</v>
      </c>
      <c r="D19" t="str">
        <v>Finance</v>
      </c>
      <c r="E19">
        <v>8569741235</v>
      </c>
    </row>
    <row r="21" spans="2:5" x14ac:dyDescent="0.3">
      <c r="B21">
        <v>200014</v>
      </c>
      <c r="C21" t="str" cm="1">
        <f t="array" ref="C21">IFERROR(VLOOKUP(VLOOKUP(B21,CHOOSE({1,2},B1:B13,A1:A13),2,0),J1:P13,{2,4,7},0),"not found")</f>
        <v>not found</v>
      </c>
    </row>
  </sheetData>
  <dataValidations count="1">
    <dataValidation type="list" allowBlank="1" showInputMessage="1" showErrorMessage="1" sqref="B2:B13" xr:uid="{DDDDA231-25A4-4ED2-BC78-D9525BA7DC1F}">
      <formula1>#REF!</formula1>
    </dataValidation>
  </dataValidation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4A636-53FA-4D30-BE74-928761F226C4}">
  <dimension ref="B5:J7"/>
  <sheetViews>
    <sheetView topLeftCell="A3" workbookViewId="0">
      <selection activeCell="F9" sqref="F9"/>
    </sheetView>
  </sheetViews>
  <sheetFormatPr defaultRowHeight="14.4" x14ac:dyDescent="0.3"/>
  <cols>
    <col min="3" max="3" width="14.21875" customWidth="1"/>
    <col min="4" max="4" width="11.33203125" customWidth="1"/>
  </cols>
  <sheetData>
    <row r="5" spans="2:10" x14ac:dyDescent="0.3">
      <c r="B5">
        <v>20020</v>
      </c>
      <c r="C5" t="s">
        <v>45</v>
      </c>
      <c r="D5">
        <f>VLOOKUP(B5,VLOOKUP!A3:H15,6,0)</f>
        <v>40500</v>
      </c>
    </row>
    <row r="6" spans="2:10" x14ac:dyDescent="0.3">
      <c r="B6">
        <v>20013</v>
      </c>
      <c r="C6" t="s">
        <v>46</v>
      </c>
      <c r="D6" t="str" cm="1">
        <f t="array" ref="D6:J6">VLOOKUP(B6,VLOOKUP!A3:H15,{2,3,4,5,6,7,8},0)</f>
        <v>Sunil Grover</v>
      </c>
      <c r="E6">
        <v>25</v>
      </c>
      <c r="F6" t="str">
        <v>Accountant</v>
      </c>
      <c r="G6" t="str">
        <v>Finance</v>
      </c>
      <c r="H6">
        <v>13000</v>
      </c>
      <c r="I6" t="str">
        <v>Bhopal</v>
      </c>
      <c r="J6">
        <v>8569741235</v>
      </c>
    </row>
    <row r="7" spans="2:10" x14ac:dyDescent="0.3">
      <c r="B7">
        <v>20016</v>
      </c>
      <c r="C7" t="s">
        <v>43</v>
      </c>
      <c r="D7" t="s">
        <v>47</v>
      </c>
      <c r="E7" t="str">
        <f>VLOOKUP(B7,VLOOKUP!A3:H15,MATCH(D7,VLOOKUP!A3:H3,0),0)</f>
        <v>Sunil Singh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3236D-08B3-439F-9709-FF19DE0CC39A}">
  <dimension ref="A1:G11"/>
  <sheetViews>
    <sheetView topLeftCell="A4" workbookViewId="0">
      <selection activeCell="F8" sqref="F8"/>
    </sheetView>
  </sheetViews>
  <sheetFormatPr defaultRowHeight="14.4" x14ac:dyDescent="0.3"/>
  <cols>
    <col min="1" max="1" width="9.88671875" customWidth="1"/>
  </cols>
  <sheetData>
    <row r="1" spans="1:7" x14ac:dyDescent="0.3">
      <c r="A1" s="15" t="s">
        <v>52</v>
      </c>
      <c r="B1" s="15" t="s">
        <v>53</v>
      </c>
    </row>
    <row r="2" spans="1:7" x14ac:dyDescent="0.3">
      <c r="A2" s="15">
        <v>0</v>
      </c>
      <c r="B2" s="15" t="s">
        <v>54</v>
      </c>
      <c r="D2">
        <v>82</v>
      </c>
      <c r="E2" t="str">
        <f>VLOOKUP(D2,A1:B6,2,1)</f>
        <v>B</v>
      </c>
    </row>
    <row r="3" spans="1:7" x14ac:dyDescent="0.3">
      <c r="A3" s="15">
        <v>40</v>
      </c>
      <c r="B3" s="15" t="s">
        <v>55</v>
      </c>
    </row>
    <row r="4" spans="1:7" x14ac:dyDescent="0.3">
      <c r="A4" s="15">
        <v>60</v>
      </c>
      <c r="B4" s="15" t="s">
        <v>56</v>
      </c>
    </row>
    <row r="5" spans="1:7" x14ac:dyDescent="0.3">
      <c r="A5" s="15">
        <v>75</v>
      </c>
      <c r="B5" s="15" t="s">
        <v>57</v>
      </c>
    </row>
    <row r="6" spans="1:7" x14ac:dyDescent="0.3">
      <c r="A6" s="15">
        <v>90</v>
      </c>
      <c r="B6" s="15" t="s">
        <v>58</v>
      </c>
    </row>
    <row r="7" spans="1:7" x14ac:dyDescent="0.3">
      <c r="F7" t="s">
        <v>61</v>
      </c>
      <c r="G7" t="s">
        <v>63</v>
      </c>
    </row>
    <row r="8" spans="1:7" x14ac:dyDescent="0.3">
      <c r="A8" t="s">
        <v>59</v>
      </c>
      <c r="B8" s="16" t="s">
        <v>60</v>
      </c>
      <c r="C8" t="s">
        <v>61</v>
      </c>
      <c r="D8" t="s">
        <v>62</v>
      </c>
    </row>
    <row r="9" spans="1:7" x14ac:dyDescent="0.3">
      <c r="A9" t="s">
        <v>63</v>
      </c>
      <c r="B9">
        <v>136</v>
      </c>
      <c r="C9">
        <v>195</v>
      </c>
      <c r="D9">
        <v>152</v>
      </c>
      <c r="F9">
        <f>VLOOKUP(G7,A8:D11,MATCH(F7,A8:D8,0),0)</f>
        <v>195</v>
      </c>
    </row>
    <row r="10" spans="1:7" x14ac:dyDescent="0.3">
      <c r="A10" t="s">
        <v>64</v>
      </c>
      <c r="B10">
        <v>109</v>
      </c>
      <c r="C10">
        <v>135</v>
      </c>
      <c r="D10">
        <v>127</v>
      </c>
    </row>
    <row r="11" spans="1:7" x14ac:dyDescent="0.3">
      <c r="A11" t="s">
        <v>65</v>
      </c>
      <c r="B11">
        <v>121</v>
      </c>
      <c r="C11">
        <v>155</v>
      </c>
      <c r="D11">
        <v>139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2E79E-4232-4B77-AE7B-25CEFD25834E}">
  <dimension ref="B3:P23"/>
  <sheetViews>
    <sheetView topLeftCell="C1" workbookViewId="0">
      <selection activeCell="G19" sqref="G19"/>
    </sheetView>
  </sheetViews>
  <sheetFormatPr defaultRowHeight="14.4" x14ac:dyDescent="0.3"/>
  <cols>
    <col min="1" max="1" width="3.109375" customWidth="1"/>
    <col min="3" max="3" width="37" customWidth="1"/>
    <col min="4" max="4" width="16.44140625" bestFit="1" customWidth="1"/>
    <col min="5" max="5" width="14.5546875" bestFit="1" customWidth="1"/>
    <col min="6" max="6" width="15.21875" bestFit="1" customWidth="1"/>
    <col min="7" max="7" width="18" bestFit="1" customWidth="1"/>
    <col min="8" max="8" width="15.21875" bestFit="1" customWidth="1"/>
    <col min="9" max="10" width="14.44140625" bestFit="1" customWidth="1"/>
    <col min="11" max="11" width="18" bestFit="1" customWidth="1"/>
    <col min="12" max="13" width="15.21875" bestFit="1" customWidth="1"/>
    <col min="14" max="14" width="14.44140625" bestFit="1" customWidth="1"/>
    <col min="15" max="15" width="15.21875" bestFit="1" customWidth="1"/>
    <col min="16" max="16" width="18" bestFit="1" customWidth="1"/>
  </cols>
  <sheetData>
    <row r="3" spans="2:16" ht="21" x14ac:dyDescent="0.4">
      <c r="B3" s="20" t="s">
        <v>0</v>
      </c>
      <c r="C3" s="21"/>
      <c r="D3" s="1" t="s">
        <v>1</v>
      </c>
      <c r="E3" s="3">
        <v>20012</v>
      </c>
      <c r="F3" s="3">
        <v>20013</v>
      </c>
      <c r="G3" s="3">
        <v>20014</v>
      </c>
      <c r="H3" s="3">
        <v>20015</v>
      </c>
      <c r="I3" s="3">
        <v>20016</v>
      </c>
      <c r="J3" s="3">
        <v>20017</v>
      </c>
      <c r="K3" s="3">
        <v>20018</v>
      </c>
      <c r="L3" s="3">
        <v>20019</v>
      </c>
      <c r="M3" s="3">
        <v>20020</v>
      </c>
      <c r="N3" s="3">
        <v>20021</v>
      </c>
      <c r="O3" s="3">
        <v>20022</v>
      </c>
      <c r="P3" s="3">
        <v>20023</v>
      </c>
    </row>
    <row r="4" spans="2:16" ht="23.4" x14ac:dyDescent="0.45">
      <c r="B4" s="20"/>
      <c r="C4" s="21"/>
      <c r="D4" s="2" t="s">
        <v>2</v>
      </c>
      <c r="E4" s="4" t="s">
        <v>9</v>
      </c>
      <c r="F4" s="4" t="s">
        <v>13</v>
      </c>
      <c r="G4" s="4" t="s">
        <v>17</v>
      </c>
      <c r="H4" s="4" t="s">
        <v>19</v>
      </c>
      <c r="I4" s="4" t="s">
        <v>20</v>
      </c>
      <c r="J4" s="4" t="s">
        <v>22</v>
      </c>
      <c r="K4" s="4" t="s">
        <v>23</v>
      </c>
      <c r="L4" s="4" t="s">
        <v>24</v>
      </c>
      <c r="M4" s="4" t="s">
        <v>25</v>
      </c>
      <c r="N4" s="4" t="s">
        <v>26</v>
      </c>
      <c r="O4" s="4" t="s">
        <v>27</v>
      </c>
      <c r="P4" s="4" t="s">
        <v>28</v>
      </c>
    </row>
    <row r="5" spans="2:16" ht="23.4" x14ac:dyDescent="0.45">
      <c r="B5" s="20"/>
      <c r="C5" s="21"/>
      <c r="D5" s="2" t="s">
        <v>3</v>
      </c>
      <c r="E5" s="4">
        <v>26</v>
      </c>
      <c r="F5" s="4">
        <v>25</v>
      </c>
      <c r="G5" s="4">
        <v>28</v>
      </c>
      <c r="H5" s="4">
        <v>27</v>
      </c>
      <c r="I5" s="4">
        <v>25</v>
      </c>
      <c r="J5" s="4">
        <v>26</v>
      </c>
      <c r="K5" s="4">
        <v>25</v>
      </c>
      <c r="L5" s="4">
        <v>26</v>
      </c>
      <c r="M5" s="4">
        <v>28</v>
      </c>
      <c r="N5" s="4">
        <v>27</v>
      </c>
      <c r="O5" s="4">
        <v>26</v>
      </c>
      <c r="P5" s="4">
        <v>27</v>
      </c>
    </row>
    <row r="6" spans="2:16" ht="21" x14ac:dyDescent="0.4">
      <c r="B6" s="20"/>
      <c r="C6" s="21"/>
      <c r="D6" s="1" t="s">
        <v>4</v>
      </c>
      <c r="E6" s="5" t="s">
        <v>10</v>
      </c>
      <c r="F6" s="5" t="s">
        <v>14</v>
      </c>
      <c r="G6" s="5" t="s">
        <v>18</v>
      </c>
      <c r="H6" s="5" t="s">
        <v>14</v>
      </c>
      <c r="I6" s="5" t="s">
        <v>10</v>
      </c>
      <c r="J6" s="5" t="s">
        <v>10</v>
      </c>
      <c r="K6" s="5" t="s">
        <v>18</v>
      </c>
      <c r="L6" s="5" t="s">
        <v>14</v>
      </c>
      <c r="M6" s="5" t="s">
        <v>14</v>
      </c>
      <c r="N6" s="5" t="s">
        <v>10</v>
      </c>
      <c r="O6" s="5" t="s">
        <v>14</v>
      </c>
      <c r="P6" s="5" t="s">
        <v>18</v>
      </c>
    </row>
    <row r="7" spans="2:16" ht="21" x14ac:dyDescent="0.4">
      <c r="B7" s="20"/>
      <c r="C7" s="21"/>
      <c r="D7" s="1" t="s">
        <v>5</v>
      </c>
      <c r="E7" s="5" t="s">
        <v>11</v>
      </c>
      <c r="F7" s="5" t="s">
        <v>15</v>
      </c>
      <c r="G7" s="5" t="s">
        <v>11</v>
      </c>
      <c r="H7" s="5" t="s">
        <v>15</v>
      </c>
      <c r="I7" s="5" t="s">
        <v>11</v>
      </c>
      <c r="J7" s="5" t="s">
        <v>11</v>
      </c>
      <c r="K7" s="5" t="s">
        <v>11</v>
      </c>
      <c r="L7" s="5" t="s">
        <v>15</v>
      </c>
      <c r="M7" s="5" t="s">
        <v>15</v>
      </c>
      <c r="N7" s="5" t="s">
        <v>11</v>
      </c>
      <c r="O7" s="5" t="s">
        <v>15</v>
      </c>
      <c r="P7" s="5" t="s">
        <v>11</v>
      </c>
    </row>
    <row r="8" spans="2:16" ht="21" x14ac:dyDescent="0.4">
      <c r="B8" s="20"/>
      <c r="C8" s="21"/>
      <c r="D8" s="1" t="s">
        <v>6</v>
      </c>
      <c r="E8" s="5">
        <v>26500</v>
      </c>
      <c r="F8" s="5">
        <v>13000</v>
      </c>
      <c r="G8" s="5">
        <v>20000</v>
      </c>
      <c r="H8" s="5">
        <v>15000</v>
      </c>
      <c r="I8" s="5">
        <v>20000</v>
      </c>
      <c r="J8" s="5">
        <v>33000</v>
      </c>
      <c r="K8" s="5">
        <v>21000</v>
      </c>
      <c r="L8" s="5">
        <v>31500</v>
      </c>
      <c r="M8" s="5">
        <v>40500</v>
      </c>
      <c r="N8" s="5">
        <v>25500</v>
      </c>
      <c r="O8" s="5">
        <v>18000</v>
      </c>
      <c r="P8" s="5">
        <v>21000</v>
      </c>
    </row>
    <row r="9" spans="2:16" ht="21" x14ac:dyDescent="0.4">
      <c r="B9" s="20"/>
      <c r="C9" s="21"/>
      <c r="D9" s="1" t="s">
        <v>7</v>
      </c>
      <c r="E9" s="5" t="s">
        <v>12</v>
      </c>
      <c r="F9" s="5" t="s">
        <v>16</v>
      </c>
      <c r="G9" s="5" t="s">
        <v>12</v>
      </c>
      <c r="H9" s="5" t="s">
        <v>16</v>
      </c>
      <c r="I9" s="5" t="s">
        <v>21</v>
      </c>
      <c r="J9" s="5" t="s">
        <v>16</v>
      </c>
      <c r="K9" s="5" t="s">
        <v>12</v>
      </c>
      <c r="L9" s="5" t="s">
        <v>16</v>
      </c>
      <c r="M9" s="5" t="s">
        <v>12</v>
      </c>
      <c r="N9" s="5" t="s">
        <v>21</v>
      </c>
      <c r="O9" s="5" t="s">
        <v>21</v>
      </c>
      <c r="P9" s="5" t="s">
        <v>12</v>
      </c>
    </row>
    <row r="10" spans="2:16" ht="21" x14ac:dyDescent="0.4">
      <c r="B10" s="20"/>
      <c r="C10" s="21"/>
      <c r="D10" s="1" t="s">
        <v>8</v>
      </c>
      <c r="E10" s="6">
        <v>8877456987</v>
      </c>
      <c r="F10" s="6">
        <v>8569741235</v>
      </c>
      <c r="G10" s="6">
        <v>7584963214</v>
      </c>
      <c r="H10" s="6">
        <v>7788994455</v>
      </c>
      <c r="I10" s="6">
        <v>8798654512</v>
      </c>
      <c r="J10" s="6">
        <v>9874563214</v>
      </c>
      <c r="K10" s="6">
        <v>8974563214</v>
      </c>
      <c r="L10" s="6">
        <v>8745968745</v>
      </c>
      <c r="M10" s="6">
        <v>9874569874</v>
      </c>
      <c r="N10" s="6">
        <v>8574965874</v>
      </c>
      <c r="O10" s="6">
        <v>8521479632</v>
      </c>
      <c r="P10" s="6">
        <v>8569745623</v>
      </c>
    </row>
    <row r="13" spans="2:16" x14ac:dyDescent="0.3">
      <c r="D13" s="11">
        <v>20017</v>
      </c>
      <c r="E13" s="11" t="str" cm="1">
        <f t="array" ref="E13:G13">HLOOKUP(D13,D3:P10,{2,3,4},0)</f>
        <v>Mohan Patel</v>
      </c>
      <c r="F13" s="11">
        <v>26</v>
      </c>
      <c r="G13" s="11" t="str">
        <v>Engineer</v>
      </c>
      <c r="I13">
        <v>20017</v>
      </c>
      <c r="J13" t="str">
        <f>HLOOKUP($I$13,$D$3:$P$10,ROW(D4),0)</f>
        <v>Engineer</v>
      </c>
    </row>
    <row r="14" spans="2:16" x14ac:dyDescent="0.3">
      <c r="D14" s="11">
        <v>20022</v>
      </c>
      <c r="E14" s="11" t="str">
        <f>HLOOKUP(D14,D3:P10,7,0)</f>
        <v>ujjain</v>
      </c>
      <c r="F14" s="11"/>
      <c r="G14" s="11"/>
      <c r="J14" t="str">
        <f>HLOOKUP($I$13,$D$3:$P$10,ROW(D5),0)</f>
        <v>Technical</v>
      </c>
    </row>
    <row r="15" spans="2:16" x14ac:dyDescent="0.3">
      <c r="D15" s="11" t="s">
        <v>49</v>
      </c>
      <c r="E15" s="11" t="str" cm="1">
        <f t="array" ref="E15:G15">HLOOKUP(D15,D4:P10,{3,4,5},0)</f>
        <v>Engineer</v>
      </c>
      <c r="F15" s="11" t="str">
        <v>Technical</v>
      </c>
      <c r="G15" s="11">
        <v>20000</v>
      </c>
      <c r="J15">
        <f>HLOOKUP($I$13,$D$3:$P$10,ROW(D6),0)</f>
        <v>33000</v>
      </c>
    </row>
    <row r="16" spans="2:16" x14ac:dyDescent="0.3">
      <c r="D16" s="11">
        <v>20020</v>
      </c>
      <c r="E16" s="11" t="s">
        <v>50</v>
      </c>
      <c r="F16" s="11">
        <f>HLOOKUP(D16,D3:P10,MATCH(E16,D3:D10,0),0)</f>
        <v>40500</v>
      </c>
      <c r="G16" s="11"/>
      <c r="J16" t="str">
        <f t="shared" ref="J16:J17" si="0">HLOOKUP($I$13,$D$3:$P$10,ROW(D7),0)</f>
        <v>Bhopal</v>
      </c>
    </row>
    <row r="17" spans="4:10" x14ac:dyDescent="0.3">
      <c r="D17" s="12">
        <v>20012</v>
      </c>
      <c r="E17" s="12" t="str">
        <f>HLOOKUP($D$17,$D$3:$P$10,ROWS($D$3:D4),0)</f>
        <v>Kapil Sharma</v>
      </c>
      <c r="J17">
        <f t="shared" si="0"/>
        <v>9874563214</v>
      </c>
    </row>
    <row r="18" spans="4:10" x14ac:dyDescent="0.3">
      <c r="D18" s="12"/>
      <c r="E18" s="12">
        <f>HLOOKUP($D$17,$D$3:$P$10,ROWS($D$3:D5),0)</f>
        <v>26</v>
      </c>
    </row>
    <row r="19" spans="4:10" x14ac:dyDescent="0.3">
      <c r="D19" s="12"/>
      <c r="E19" s="12" t="str">
        <f>HLOOKUP($D$17,$D$3:$P$10,ROWS($D$3:D6),0)</f>
        <v>Engineer</v>
      </c>
    </row>
    <row r="20" spans="4:10" x14ac:dyDescent="0.3">
      <c r="D20" s="12"/>
      <c r="E20" s="12" t="str">
        <f>HLOOKUP($D$17,$D$3:$P$10,ROWS($D$3:D7),0)</f>
        <v>Technical</v>
      </c>
    </row>
    <row r="21" spans="4:10" x14ac:dyDescent="0.3">
      <c r="D21" s="12"/>
      <c r="E21" s="12">
        <f>HLOOKUP($D$17,$D$3:$P$10,ROWS($D$3:D8),0)</f>
        <v>26500</v>
      </c>
    </row>
    <row r="22" spans="4:10" x14ac:dyDescent="0.3">
      <c r="D22" s="12"/>
      <c r="E22" s="12" t="str">
        <f>HLOOKUP($D$17,$D$3:$P$10,ROWS($D$3:D9),0)</f>
        <v>Indore</v>
      </c>
    </row>
    <row r="23" spans="4:10" x14ac:dyDescent="0.3">
      <c r="D23" s="12"/>
      <c r="E23" s="12">
        <f>HLOOKUP($D$17,$D$3:$P$10,ROWS($D$3:D10),0)</f>
        <v>8877456987</v>
      </c>
    </row>
  </sheetData>
  <mergeCells count="1">
    <mergeCell ref="B3:C10"/>
  </mergeCells>
  <dataValidations count="1">
    <dataValidation type="list" allowBlank="1" showInputMessage="1" showErrorMessage="1" sqref="E3:P3" xr:uid="{38F32FDC-0164-4997-8FB6-00DDFFEC0E0D}">
      <formula1>$D$4:$D$15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VLOOKUP</vt:lpstr>
      <vt:lpstr>XLOOKUP</vt:lpstr>
      <vt:lpstr>filter</vt:lpstr>
      <vt:lpstr>filter q</vt:lpstr>
      <vt:lpstr>Sheet3</vt:lpstr>
      <vt:lpstr>Sheet6</vt:lpstr>
      <vt:lpstr>iferror</vt:lpstr>
      <vt:lpstr>Sheet4</vt:lpstr>
      <vt:lpstr>Sheet1</vt:lpstr>
      <vt:lpstr>Sheet5</vt:lpstr>
      <vt:lpstr>HLOOKUP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 Kumar</dc:creator>
  <cp:lastModifiedBy>uma rajput</cp:lastModifiedBy>
  <dcterms:created xsi:type="dcterms:W3CDTF">2026-01-12T05:14:39Z</dcterms:created>
  <dcterms:modified xsi:type="dcterms:W3CDTF">2026-08-11T08:53:19Z</dcterms:modified>
</cp:coreProperties>
</file>