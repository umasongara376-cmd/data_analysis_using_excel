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243" documentId="8_{C44004E4-312F-4D0B-8E45-D8868A69759D}" xr6:coauthVersionLast="47" xr6:coauthVersionMax="47" xr10:uidLastSave="{847DB481-AF4A-47A0-A06C-0C5DB4F9A4A9}"/>
  <bookViews>
    <workbookView minimized="1" xWindow="5328" yWindow="4056" windowWidth="17280" windowHeight="8880" firstSheet="2" activeTab="4" xr2:uid="{9D36B046-9039-4496-BC7F-AECABF7E71EE}"/>
  </bookViews>
  <sheets>
    <sheet name="SALES TABLE" sheetId="1" r:id="rId1"/>
    <sheet name="EMP TABLE" sheetId="2" r:id="rId2"/>
    <sheet name="Sheet3" sheetId="10" r:id="rId3"/>
    <sheet name="Sheet2" sheetId="9" r:id="rId4"/>
    <sheet name="Sheet5" sheetId="12" r:id="rId5"/>
    <sheet name="index" sheetId="6" r:id="rId6"/>
    <sheet name="FILTER&amp;LARGE FORMULA" sheetId="7" r:id="rId7"/>
    <sheet name="FILTER WITH MULT COND" sheetId="8" r:id="rId8"/>
    <sheet name="STUDENT TABEL" sheetId="3" r:id="rId9"/>
    <sheet name="PRODUCT TABLE" sheetId="4" r:id="rId10"/>
    <sheet name="MIX QUE" sheetId="5" r:id="rId11"/>
    <sheet name="Sheet4" sheetId="11" r:id="rId12"/>
  </sheets>
  <definedNames>
    <definedName name="_xlnm._FilterDatabase" localSheetId="2" hidden="1">Sheet3!$A$3:$H$3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  <c r="E22" i="10"/>
  <c r="F22" i="10"/>
  <c r="G22" i="10"/>
  <c r="H22" i="10"/>
  <c r="I21" i="8" a="1"/>
  <c r="I21" i="8" s="1"/>
  <c r="I19" i="8" a="1"/>
  <c r="I19" i="8" s="1"/>
  <c r="I17" i="8" a="1"/>
  <c r="I17" i="8" s="1"/>
  <c r="I15" i="8" a="1"/>
  <c r="I15" i="8"/>
  <c r="I11" i="8" a="1"/>
  <c r="I11" i="8" s="1"/>
  <c r="I9" i="8" a="1"/>
  <c r="I9" i="8" s="1"/>
  <c r="I5" i="8" a="1"/>
  <c r="I5" i="8" s="1"/>
  <c r="I2" i="8" a="1"/>
  <c r="I2" i="8" s="1"/>
  <c r="G2" i="7" a="1"/>
  <c r="G2" i="7" s="1"/>
  <c r="A2" i="7" a="1"/>
  <c r="A2" i="7" s="1"/>
  <c r="K9" i="6"/>
  <c r="K8" i="6"/>
  <c r="K7" i="6"/>
  <c r="K6" i="6"/>
  <c r="K5" i="6"/>
  <c r="K4" i="6"/>
  <c r="K3" i="6"/>
  <c r="K2" i="6"/>
  <c r="G3" i="5" a="1"/>
  <c r="G3" i="5"/>
  <c r="G4" i="5" a="1"/>
  <c r="G4" i="5"/>
  <c r="G5" i="5" a="1"/>
  <c r="G5" i="5" s="1"/>
  <c r="G6" i="5" a="1"/>
  <c r="G6" i="5" s="1"/>
  <c r="G2" i="5" a="1"/>
  <c r="G2" i="5" s="1"/>
  <c r="N4" i="5"/>
  <c r="N3" i="5"/>
  <c r="N2" i="5"/>
  <c r="N11" i="4"/>
  <c r="G3" i="4"/>
  <c r="G4" i="4"/>
  <c r="G5" i="4"/>
  <c r="G6" i="4"/>
  <c r="G7" i="4"/>
  <c r="G2" i="4"/>
  <c r="N9" i="4" a="1"/>
  <c r="N9" i="4" s="1"/>
  <c r="N5" i="4" a="1"/>
  <c r="N5" i="4" s="1"/>
  <c r="N4" i="4"/>
  <c r="N3" i="4"/>
  <c r="K3" i="3"/>
  <c r="D3" i="3" a="1"/>
  <c r="D3" i="3" s="1"/>
  <c r="D4" i="3" a="1"/>
  <c r="D4" i="3" s="1"/>
  <c r="D5" i="3" a="1"/>
  <c r="D5" i="3" s="1"/>
  <c r="D6" i="3" a="1"/>
  <c r="D6" i="3"/>
  <c r="D2" i="3" a="1"/>
  <c r="D2" i="3" s="1"/>
  <c r="K4" i="3"/>
  <c r="F3" i="2"/>
  <c r="F4" i="2"/>
  <c r="F5" i="2"/>
  <c r="F6" i="2"/>
  <c r="F2" i="2"/>
  <c r="K6" i="2"/>
  <c r="K5" i="2"/>
  <c r="K4" i="2"/>
  <c r="F14" i="1"/>
  <c r="F13" i="1"/>
  <c r="F12" i="1"/>
  <c r="F11" i="1"/>
  <c r="F10" i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B7" authorId="0" shapeId="0" xr:uid="{7FD3E0FD-B84A-4113-B7FD-F1F5AF8B4EE8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3FAD05A5-02E1-40E8-A652-4BF459725F87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Pooja</author>
  </authors>
  <commentList>
    <comment ref="B7" authorId="0" shapeId="0" xr:uid="{E92693E0-3557-45DF-B19A-FE421DADEEC2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29D3A18A-30EF-44F7-9437-C40931A807E3}">
      <text>
        <r>
          <rPr>
            <b/>
            <sz val="9"/>
            <color indexed="81"/>
            <rFont val="Tahoma"/>
            <family val="2"/>
          </rPr>
          <t>Pooja: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<sst xmlns="http://schemas.openxmlformats.org/spreadsheetml/2006/main" count="323" uniqueCount="172">
  <si>
    <t xml:space="preserve">ORDER ID </t>
  </si>
  <si>
    <t>PRODUCT</t>
  </si>
  <si>
    <t>REGION</t>
  </si>
  <si>
    <t>SALES</t>
  </si>
  <si>
    <t>QUANTITY</t>
  </si>
  <si>
    <t>LAPTOP</t>
  </si>
  <si>
    <t>MOBILE</t>
  </si>
  <si>
    <t>TABLET</t>
  </si>
  <si>
    <t>NORTH</t>
  </si>
  <si>
    <t>SOUTH</t>
  </si>
  <si>
    <t>EAST</t>
  </si>
  <si>
    <t>WEST</t>
  </si>
  <si>
    <t>Q1</t>
  </si>
  <si>
    <t>FIND TOTAL SALES</t>
  </si>
  <si>
    <t>Q2</t>
  </si>
  <si>
    <t>TOTAL SALES OF MOBILE</t>
  </si>
  <si>
    <t>Q3</t>
  </si>
  <si>
    <t>COUNT ORDER FROM NORTH</t>
  </si>
  <si>
    <t>Q4</t>
  </si>
  <si>
    <t>AVERAGE SALES</t>
  </si>
  <si>
    <t>Q5</t>
  </si>
  <si>
    <t>HIGHEST SALES</t>
  </si>
  <si>
    <t>Q6</t>
  </si>
  <si>
    <t>FIND PRODUCT FOR ORDER ID=103</t>
  </si>
  <si>
    <t>EMP ID</t>
  </si>
  <si>
    <t>NAME</t>
  </si>
  <si>
    <t>DEPT</t>
  </si>
  <si>
    <t>SALARY</t>
  </si>
  <si>
    <t>EXPERIENCE</t>
  </si>
  <si>
    <t>A</t>
  </si>
  <si>
    <t>B</t>
  </si>
  <si>
    <t>C</t>
  </si>
  <si>
    <t>D</t>
  </si>
  <si>
    <t>E</t>
  </si>
  <si>
    <t>R</t>
  </si>
  <si>
    <t>IT</t>
  </si>
  <si>
    <t>FIN</t>
  </si>
  <si>
    <t>TOTAL SALARY OF IT DEPARTMENT</t>
  </si>
  <si>
    <t>COUNT EMPLOYEES WITH SALARY &gt;30000</t>
  </si>
  <si>
    <t>FIND NAME USING EMP ID =204</t>
  </si>
  <si>
    <t>IF CONDITION (EXPERIENCE&gt;5=SENIOR</t>
  </si>
  <si>
    <t>ROLL NO</t>
  </si>
  <si>
    <t>MARKS</t>
  </si>
  <si>
    <t>ASSIGN GRADE</t>
  </si>
  <si>
    <t>COUNT STUDENTS PASSED(&gt;50)</t>
  </si>
  <si>
    <t>AVERAGE MARKS</t>
  </si>
  <si>
    <t>GRADE</t>
  </si>
  <si>
    <t>ORDER ID</t>
  </si>
  <si>
    <t>SALES REP</t>
  </si>
  <si>
    <t>TOTAL SALES WHERE  P=LAPTOP,R=NORTH</t>
  </si>
  <si>
    <t>COUNT ORDERS WHERE SALES&gt;30000,SALES REP=A</t>
  </si>
  <si>
    <t xml:space="preserve">GET UNIQUE PRODUCT LIST </t>
  </si>
  <si>
    <t>FILTER DATA WHERE R=NORTH,SALES&gt;30000</t>
  </si>
  <si>
    <t>TOP  3  SALES  VALUES</t>
  </si>
  <si>
    <t>RANK SALES (HIGHEST =1)</t>
  </si>
  <si>
    <t>RANK</t>
  </si>
  <si>
    <t>Q7</t>
  </si>
  <si>
    <t>DYNAMIC LOOKUP (COLUMN CHANGE)</t>
  </si>
  <si>
    <t>ANS</t>
  </si>
  <si>
    <t>QUE</t>
  </si>
  <si>
    <t xml:space="preserve">EMP ID </t>
  </si>
  <si>
    <t>RATING</t>
  </si>
  <si>
    <t>HR</t>
  </si>
  <si>
    <t>TPTAL SALARY OF IT DEPT WITH RATING &gt;=4</t>
  </si>
  <si>
    <t>AVERAGE SALASRY WHERE EXPERIENCE &gt;3</t>
  </si>
  <si>
    <t>FIND EMP NAME USING EMP ID (MORDERN)</t>
  </si>
  <si>
    <t>CREATE CATEGORY : S&gt;40000--&gt;HIGH</t>
  </si>
  <si>
    <t>30000-40000--&gt;MEDIUM</t>
  </si>
  <si>
    <t>&lt;30000--&gt;LOW</t>
  </si>
  <si>
    <t>CATEGORY</t>
  </si>
  <si>
    <t>ID</t>
  </si>
  <si>
    <t>RAHUL</t>
  </si>
  <si>
    <t>PRIYA</t>
  </si>
  <si>
    <t>AMAN</t>
  </si>
  <si>
    <t>NAHA</t>
  </si>
  <si>
    <t>RIYA</t>
  </si>
  <si>
    <t>MATH</t>
  </si>
  <si>
    <t>SCIENCE</t>
  </si>
  <si>
    <t>ENGLISH</t>
  </si>
  <si>
    <t>QUESTIONS</t>
  </si>
  <si>
    <t>FIND THE MATH MARKS OF PRIYA USING INDEX</t>
  </si>
  <si>
    <t>GET THE SCIENCE MARKS OF AMAN</t>
  </si>
  <si>
    <t>RETRIEVE THE ENGLISH MARKS OF NEHA</t>
  </si>
  <si>
    <t>FIND THE VALUE AT ROW3,COLUMN 2 USING INDEX</t>
  </si>
  <si>
    <t>USE INDEX TO RETURN RIYA'S SCIENCE MARKS DYNAMICALLY</t>
  </si>
  <si>
    <t>COMBINE INDEX WITH MATCH TO FIND RAHUL'S ENGLISH MARKS</t>
  </si>
  <si>
    <t>GET MARKS BASED ON ROW NO FROM ONE CELL AND COLUMN NO FROM ANOTHOR  CELL</t>
  </si>
  <si>
    <t>FIND MARKS USING TWO-WAY LOOKUP (NAME+SUB)</t>
  </si>
  <si>
    <t>MAYA</t>
  </si>
  <si>
    <t>RITA</t>
  </si>
  <si>
    <t>VEDIK</t>
  </si>
  <si>
    <t>VIJAY</t>
  </si>
  <si>
    <t>KOMAL</t>
  </si>
  <si>
    <t>UMA</t>
  </si>
  <si>
    <t>POOJA</t>
  </si>
  <si>
    <t>SUNIL</t>
  </si>
  <si>
    <t>KAPIL</t>
  </si>
  <si>
    <t>MOHAN</t>
  </si>
  <si>
    <t>RANI</t>
  </si>
  <si>
    <t>GAURI</t>
  </si>
  <si>
    <t>GROUP</t>
  </si>
  <si>
    <t>RED</t>
  </si>
  <si>
    <t>BLUE</t>
  </si>
  <si>
    <t>YELLOW</t>
  </si>
  <si>
    <t>GREEN</t>
  </si>
  <si>
    <t>SCORE</t>
  </si>
  <si>
    <t>ans</t>
  </si>
  <si>
    <t>IMP ID</t>
  </si>
  <si>
    <t>Name</t>
  </si>
  <si>
    <t>CITY</t>
  </si>
  <si>
    <t>EMP101</t>
  </si>
  <si>
    <t>EMP102</t>
  </si>
  <si>
    <t>EMP103</t>
  </si>
  <si>
    <t>EMP104</t>
  </si>
  <si>
    <t>EMP105</t>
  </si>
  <si>
    <t xml:space="preserve">AMIT </t>
  </si>
  <si>
    <t>NEHA</t>
  </si>
  <si>
    <t>RAM</t>
  </si>
  <si>
    <t>KARAN</t>
  </si>
  <si>
    <t>FINANCE</t>
  </si>
  <si>
    <t>DELHI</t>
  </si>
  <si>
    <t>MUMBAI</t>
  </si>
  <si>
    <t>PUNE</t>
  </si>
  <si>
    <t>BHOPAL</t>
  </si>
  <si>
    <t>INDORE</t>
  </si>
  <si>
    <t>FILTER IT DEPARTMEMT EMPLOYEES</t>
  </si>
  <si>
    <t>FILTER SALARY &gt;30000</t>
  </si>
  <si>
    <t>MULTIPLE CONDITION (AND)</t>
  </si>
  <si>
    <t>MULTIPLE CONDITION (OR)</t>
  </si>
  <si>
    <t>IF NO DATA FOUND (ERROR HANDLING)</t>
  </si>
  <si>
    <t>FILTER TOP SALARY EMPLOYEE</t>
  </si>
  <si>
    <t>FILTER USING TEXT STARTS WITH (WILDCARD LOGIC)</t>
  </si>
  <si>
    <t>DYNAMIC FILTER (USING CELL VALUE)</t>
  </si>
  <si>
    <t>JAN</t>
  </si>
  <si>
    <t>FEB</t>
  </si>
  <si>
    <t>MAR</t>
  </si>
  <si>
    <t>Employee Table</t>
  </si>
  <si>
    <t>Emp. ID</t>
  </si>
  <si>
    <t>Age</t>
  </si>
  <si>
    <t>Designation</t>
  </si>
  <si>
    <t>Department</t>
  </si>
  <si>
    <t>Salary</t>
  </si>
  <si>
    <t>Place</t>
  </si>
  <si>
    <t>Mob.No.</t>
  </si>
  <si>
    <t>Kapil Sharma</t>
  </si>
  <si>
    <t>Engineer</t>
  </si>
  <si>
    <t>Technical</t>
  </si>
  <si>
    <t>Indore</t>
  </si>
  <si>
    <t>Sunil Grover</t>
  </si>
  <si>
    <t>Accountant</t>
  </si>
  <si>
    <t>Finance</t>
  </si>
  <si>
    <t>Bhopal</t>
  </si>
  <si>
    <t>Kapil Singh</t>
  </si>
  <si>
    <t>CAD Designer</t>
  </si>
  <si>
    <t>Ali Asgar</t>
  </si>
  <si>
    <t>Sunil Singh</t>
  </si>
  <si>
    <t>ujjain</t>
  </si>
  <si>
    <t>Mohan Patel</t>
  </si>
  <si>
    <t>Ravi Verma</t>
  </si>
  <si>
    <t>Deepak Singh</t>
  </si>
  <si>
    <t>Vikas Patel</t>
  </si>
  <si>
    <t>Gopal Jat</t>
  </si>
  <si>
    <t>Rohan Yadav</t>
  </si>
  <si>
    <t>Janwi Rai</t>
  </si>
  <si>
    <t>APR</t>
  </si>
  <si>
    <t>MAY</t>
  </si>
  <si>
    <t>JUNE</t>
  </si>
  <si>
    <t>MAX</t>
  </si>
  <si>
    <t>SUM</t>
  </si>
  <si>
    <t>MIN</t>
  </si>
  <si>
    <t>AVG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</si>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</sst>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26"/>
      <color theme="1"/>
      <name val="Algerian"/>
      <family val="5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7" borderId="3" xfId="0" applyFill="1" applyBorder="1"/>
    <xf numFmtId="0" fontId="0" fillId="0" borderId="2" xfId="0" applyBorder="1"/>
    <xf numFmtId="0" fontId="0" fillId="7" borderId="0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3" fillId="11" borderId="1" xfId="0" applyFont="1" applyFill="1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65BF-DDDE-45D8-BCB0-1BD078F5F0A2}">
  <dimension ref="A1:F14"/>
  <sheetViews>
    <sheetView workbookViewId="0">
      <selection activeCell="D23" sqref="D23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">
      <c r="A2" s="1">
        <v>101</v>
      </c>
      <c r="B2" s="1" t="s">
        <v>5</v>
      </c>
      <c r="C2" s="1" t="s">
        <v>8</v>
      </c>
      <c r="D2" s="1">
        <v>50000</v>
      </c>
      <c r="E2" s="1">
        <v>2</v>
      </c>
    </row>
    <row r="3" spans="1:6" x14ac:dyDescent="0.3">
      <c r="A3" s="1">
        <v>102</v>
      </c>
      <c r="B3" s="1" t="s">
        <v>6</v>
      </c>
      <c r="C3" s="1" t="s">
        <v>9</v>
      </c>
      <c r="D3" s="1">
        <v>20000</v>
      </c>
      <c r="E3" s="1">
        <v>5</v>
      </c>
    </row>
    <row r="4" spans="1:6" x14ac:dyDescent="0.3">
      <c r="A4" s="1">
        <v>103</v>
      </c>
      <c r="B4" s="1" t="s">
        <v>5</v>
      </c>
      <c r="C4" s="1" t="s">
        <v>10</v>
      </c>
      <c r="D4" s="1">
        <v>45000</v>
      </c>
      <c r="E4" s="1">
        <v>3</v>
      </c>
    </row>
    <row r="5" spans="1:6" x14ac:dyDescent="0.3">
      <c r="A5" s="1">
        <v>104</v>
      </c>
      <c r="B5" s="1" t="s">
        <v>7</v>
      </c>
      <c r="C5" s="1" t="s">
        <v>11</v>
      </c>
      <c r="D5" s="1">
        <v>15000</v>
      </c>
      <c r="E5" s="1">
        <v>4</v>
      </c>
    </row>
    <row r="6" spans="1:6" x14ac:dyDescent="0.3">
      <c r="A6" s="1">
        <v>105</v>
      </c>
      <c r="B6" s="1" t="s">
        <v>6</v>
      </c>
      <c r="C6" s="1" t="s">
        <v>8</v>
      </c>
      <c r="D6" s="1">
        <v>25000</v>
      </c>
      <c r="E6" s="1">
        <v>2</v>
      </c>
    </row>
    <row r="9" spans="1:6" x14ac:dyDescent="0.3">
      <c r="A9" s="1" t="s">
        <v>12</v>
      </c>
      <c r="B9" s="1" t="s">
        <v>13</v>
      </c>
      <c r="C9" s="1"/>
      <c r="D9" s="1"/>
      <c r="E9" s="1"/>
      <c r="F9" s="1">
        <f>SUM(D2:D6)</f>
        <v>155000</v>
      </c>
    </row>
    <row r="10" spans="1:6" x14ac:dyDescent="0.3">
      <c r="A10" s="1" t="s">
        <v>14</v>
      </c>
      <c r="B10" s="1" t="s">
        <v>15</v>
      </c>
      <c r="C10" s="1"/>
      <c r="D10" s="1"/>
      <c r="E10" s="1"/>
      <c r="F10" s="1">
        <f>SUMIF(B2:B6,B3,D2:D6)</f>
        <v>45000</v>
      </c>
    </row>
    <row r="11" spans="1:6" x14ac:dyDescent="0.3">
      <c r="A11" s="1" t="s">
        <v>16</v>
      </c>
      <c r="B11" s="1" t="s">
        <v>17</v>
      </c>
      <c r="C11" s="1"/>
      <c r="D11" s="1"/>
      <c r="E11" s="1"/>
      <c r="F11" s="1">
        <f>COUNTIF(C2:C6,C2)</f>
        <v>2</v>
      </c>
    </row>
    <row r="12" spans="1:6" x14ac:dyDescent="0.3">
      <c r="A12" s="1" t="s">
        <v>18</v>
      </c>
      <c r="B12" s="1" t="s">
        <v>19</v>
      </c>
      <c r="C12" s="1"/>
      <c r="D12" s="1"/>
      <c r="E12" s="1"/>
      <c r="F12" s="1">
        <f>AVERAGE(D2:D6)</f>
        <v>31000</v>
      </c>
    </row>
    <row r="13" spans="1:6" x14ac:dyDescent="0.3">
      <c r="A13" s="1" t="s">
        <v>20</v>
      </c>
      <c r="B13" s="1" t="s">
        <v>21</v>
      </c>
      <c r="C13" s="1"/>
      <c r="D13" s="1"/>
      <c r="E13" s="1"/>
      <c r="F13" s="1">
        <f>MAX(D2:D6)</f>
        <v>50000</v>
      </c>
    </row>
    <row r="14" spans="1:6" x14ac:dyDescent="0.3">
      <c r="A14" s="1" t="s">
        <v>22</v>
      </c>
      <c r="B14" s="1" t="s">
        <v>23</v>
      </c>
      <c r="C14" s="1"/>
      <c r="D14" s="1"/>
      <c r="E14" s="1"/>
      <c r="F14" s="1" t="str">
        <f>VLOOKUP(A4,A1:E6,2,0)</f>
        <v>LAPTOP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9D87-649A-4F94-8506-45E3F8B16303}">
  <dimension ref="A1:K12"/>
  <sheetViews>
    <sheetView workbookViewId="0">
      <selection activeCell="J10" sqref="J10"/>
    </sheetView>
  </sheetViews>
  <sheetFormatPr defaultRowHeight="14.4" x14ac:dyDescent="0.3"/>
  <cols>
    <col min="5" max="5" width="13.109375" customWidth="1"/>
    <col min="9" max="9" width="35.5546875" customWidth="1"/>
  </cols>
  <sheetData>
    <row r="1" spans="1:11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</row>
    <row r="2" spans="1:11" x14ac:dyDescent="0.3">
      <c r="A2" s="1">
        <v>201</v>
      </c>
      <c r="B2" s="1" t="s">
        <v>29</v>
      </c>
      <c r="C2" s="1" t="s">
        <v>34</v>
      </c>
      <c r="D2" s="1">
        <v>25000</v>
      </c>
      <c r="E2" s="1">
        <v>2</v>
      </c>
      <c r="F2" s="3" t="str">
        <f>IF(E2&gt;5,"SENIOR","JUNIOR")</f>
        <v>JUNIOR</v>
      </c>
    </row>
    <row r="3" spans="1:11" x14ac:dyDescent="0.3">
      <c r="A3" s="1">
        <v>202</v>
      </c>
      <c r="B3" s="1" t="s">
        <v>30</v>
      </c>
      <c r="C3" s="1" t="s">
        <v>35</v>
      </c>
      <c r="D3" s="1">
        <v>40000</v>
      </c>
      <c r="E3" s="1">
        <v>5</v>
      </c>
      <c r="F3" s="3" t="str">
        <f t="shared" ref="F3:F6" si="0">IF(E3&gt;5,"SENIOR","JUNIOR")</f>
        <v>JUNIOR</v>
      </c>
    </row>
    <row r="4" spans="1:11" x14ac:dyDescent="0.3">
      <c r="A4" s="1">
        <v>203</v>
      </c>
      <c r="B4" s="1" t="s">
        <v>31</v>
      </c>
      <c r="C4" s="1" t="s">
        <v>35</v>
      </c>
      <c r="D4" s="1">
        <v>35000</v>
      </c>
      <c r="E4" s="1">
        <v>4</v>
      </c>
      <c r="F4" s="3" t="str">
        <f t="shared" si="0"/>
        <v>JUNIOR</v>
      </c>
      <c r="H4" s="3" t="s">
        <v>12</v>
      </c>
      <c r="I4" s="3" t="s">
        <v>37</v>
      </c>
      <c r="J4" s="3"/>
      <c r="K4" s="3">
        <f>SUMIF(C2:C6,C6,D2:D6)</f>
        <v>120000</v>
      </c>
    </row>
    <row r="5" spans="1:11" x14ac:dyDescent="0.3">
      <c r="A5" s="1">
        <v>204</v>
      </c>
      <c r="B5" s="1" t="s">
        <v>32</v>
      </c>
      <c r="C5" s="1" t="s">
        <v>36</v>
      </c>
      <c r="D5" s="1">
        <v>30000</v>
      </c>
      <c r="E5" s="1">
        <v>3</v>
      </c>
      <c r="F5" s="3" t="str">
        <f t="shared" si="0"/>
        <v>JUNIOR</v>
      </c>
      <c r="H5" s="3" t="s">
        <v>14</v>
      </c>
      <c r="I5" s="3" t="s">
        <v>38</v>
      </c>
      <c r="J5" s="3"/>
      <c r="K5" s="3">
        <f>COUNTIF(D2:D6,"&gt;30000")</f>
        <v>3</v>
      </c>
    </row>
    <row r="6" spans="1:11" x14ac:dyDescent="0.3">
      <c r="A6" s="1">
        <v>205</v>
      </c>
      <c r="B6" s="1" t="s">
        <v>33</v>
      </c>
      <c r="C6" s="1" t="s">
        <v>35</v>
      </c>
      <c r="D6" s="1">
        <v>45000</v>
      </c>
      <c r="E6" s="1">
        <v>6</v>
      </c>
      <c r="F6" s="3" t="str">
        <f t="shared" si="0"/>
        <v>SENIOR</v>
      </c>
      <c r="H6" s="3" t="s">
        <v>16</v>
      </c>
      <c r="I6" s="3" t="s">
        <v>39</v>
      </c>
      <c r="J6" s="3"/>
      <c r="K6" s="3" t="str">
        <f>VLOOKUP(A5,A2:E6,2,0)</f>
        <v>D</v>
      </c>
    </row>
    <row r="7" spans="1:11" x14ac:dyDescent="0.3">
      <c r="H7" s="3" t="s">
        <v>18</v>
      </c>
      <c r="I7" s="3" t="s">
        <v>40</v>
      </c>
      <c r="J7" s="3"/>
    </row>
    <row r="8" spans="1:11" x14ac:dyDescent="0.3">
      <c r="K8" s="3"/>
    </row>
    <row r="9" spans="1:11" x14ac:dyDescent="0.3">
      <c r="K9" s="3"/>
    </row>
    <row r="10" spans="1:11" x14ac:dyDescent="0.3">
      <c r="K10" s="3"/>
    </row>
    <row r="11" spans="1:11" x14ac:dyDescent="0.3">
      <c r="K11" s="3"/>
    </row>
    <row r="12" spans="1:11" x14ac:dyDescent="0.3">
      <c r="K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5F61-3879-4CA3-9114-1DC94E5836F2}">
  <dimension ref="A1:H22"/>
  <sheetViews>
    <sheetView zoomScale="79" workbookViewId="0">
      <selection activeCell="A3" sqref="A3:H15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6.33203125" bestFit="1" customWidth="1"/>
    <col min="4" max="4" width="17.88671875" bestFit="1" customWidth="1"/>
    <col min="5" max="5" width="16.33203125" bestFit="1" customWidth="1"/>
    <col min="6" max="6" width="9" bestFit="1" customWidth="1"/>
    <col min="7" max="7" width="9.77734375" bestFit="1" customWidth="1"/>
    <col min="8" max="8" width="14.44140625" bestFit="1" customWidth="1"/>
  </cols>
  <sheetData>
    <row r="1" spans="1:8" x14ac:dyDescent="0.3">
      <c r="A1" s="15" t="s">
        <v>136</v>
      </c>
      <c r="B1" s="15"/>
      <c r="C1" s="15"/>
      <c r="D1" s="15"/>
      <c r="E1" s="15"/>
      <c r="F1" s="15"/>
      <c r="G1" s="15"/>
      <c r="H1" s="15"/>
    </row>
    <row r="2" spans="1:8" x14ac:dyDescent="0.3">
      <c r="A2" s="16"/>
      <c r="B2" s="16"/>
      <c r="C2" s="16"/>
      <c r="D2" s="16"/>
      <c r="E2" s="16"/>
      <c r="F2" s="16"/>
      <c r="G2" s="16"/>
      <c r="H2" s="16"/>
    </row>
    <row r="3" spans="1:8" ht="23.4" x14ac:dyDescent="0.45">
      <c r="A3" s="17" t="s">
        <v>137</v>
      </c>
      <c r="B3" s="18" t="s">
        <v>108</v>
      </c>
      <c r="C3" s="18" t="s">
        <v>133</v>
      </c>
      <c r="D3" s="17" t="s">
        <v>134</v>
      </c>
      <c r="E3" s="17" t="s">
        <v>135</v>
      </c>
      <c r="F3" s="17" t="s">
        <v>164</v>
      </c>
      <c r="G3" s="17" t="s">
        <v>165</v>
      </c>
      <c r="H3" s="17" t="s">
        <v>166</v>
      </c>
    </row>
    <row r="4" spans="1:8" ht="21" x14ac:dyDescent="0.4">
      <c r="A4" s="19">
        <v>20012</v>
      </c>
      <c r="B4" s="20" t="s">
        <v>144</v>
      </c>
      <c r="C4" s="20">
        <v>539</v>
      </c>
      <c r="D4" s="20">
        <v>761</v>
      </c>
      <c r="E4" s="20">
        <v>319</v>
      </c>
      <c r="F4" s="20">
        <v>955</v>
      </c>
      <c r="G4" s="20">
        <v>215</v>
      </c>
      <c r="H4" s="20">
        <v>530</v>
      </c>
    </row>
    <row r="5" spans="1:8" ht="21" x14ac:dyDescent="0.4">
      <c r="A5" s="19">
        <v>20013</v>
      </c>
      <c r="B5" s="20" t="s">
        <v>148</v>
      </c>
      <c r="C5" s="20">
        <v>831</v>
      </c>
      <c r="D5" s="20">
        <v>926</v>
      </c>
      <c r="E5" s="20">
        <v>748</v>
      </c>
      <c r="F5" s="20">
        <v>557</v>
      </c>
      <c r="G5" s="20">
        <v>276</v>
      </c>
      <c r="H5" s="20">
        <v>925</v>
      </c>
    </row>
    <row r="6" spans="1:8" ht="21" x14ac:dyDescent="0.4">
      <c r="A6" s="19">
        <v>20014</v>
      </c>
      <c r="B6" s="20" t="s">
        <v>152</v>
      </c>
      <c r="C6" s="20">
        <v>284</v>
      </c>
      <c r="D6" s="20">
        <v>785</v>
      </c>
      <c r="E6" s="20">
        <v>481</v>
      </c>
      <c r="F6" s="20">
        <v>821</v>
      </c>
      <c r="G6" s="20">
        <v>219</v>
      </c>
      <c r="H6" s="20">
        <v>540</v>
      </c>
    </row>
    <row r="7" spans="1:8" ht="21" x14ac:dyDescent="0.4">
      <c r="A7" s="19">
        <v>20015</v>
      </c>
      <c r="B7" s="20" t="s">
        <v>154</v>
      </c>
      <c r="C7" s="20">
        <v>310</v>
      </c>
      <c r="D7" s="20">
        <v>743</v>
      </c>
      <c r="E7" s="20">
        <v>242</v>
      </c>
      <c r="F7" s="20">
        <v>305</v>
      </c>
      <c r="G7" s="20">
        <v>820</v>
      </c>
      <c r="H7" s="20">
        <v>875</v>
      </c>
    </row>
    <row r="8" spans="1:8" ht="21" x14ac:dyDescent="0.4">
      <c r="A8" s="19">
        <v>20016</v>
      </c>
      <c r="B8" s="20" t="s">
        <v>155</v>
      </c>
      <c r="C8" s="20">
        <v>725</v>
      </c>
      <c r="D8" s="20">
        <v>697</v>
      </c>
      <c r="E8" s="20">
        <v>510</v>
      </c>
      <c r="F8" s="20">
        <v>889</v>
      </c>
      <c r="G8" s="20">
        <v>986</v>
      </c>
      <c r="H8" s="20">
        <v>921</v>
      </c>
    </row>
    <row r="9" spans="1:8" ht="21" x14ac:dyDescent="0.4">
      <c r="A9" s="19">
        <v>20017</v>
      </c>
      <c r="B9" s="20" t="s">
        <v>157</v>
      </c>
      <c r="C9" s="20">
        <v>675</v>
      </c>
      <c r="D9" s="20">
        <v>473</v>
      </c>
      <c r="E9" s="20">
        <v>937</v>
      </c>
      <c r="F9" s="20">
        <v>931</v>
      </c>
      <c r="G9" s="20">
        <v>452</v>
      </c>
      <c r="H9" s="20">
        <v>974</v>
      </c>
    </row>
    <row r="10" spans="1:8" ht="21" x14ac:dyDescent="0.4">
      <c r="A10" s="19">
        <v>20018</v>
      </c>
      <c r="B10" s="20" t="s">
        <v>158</v>
      </c>
      <c r="C10" s="20">
        <v>284</v>
      </c>
      <c r="D10" s="20">
        <v>926</v>
      </c>
      <c r="E10" s="20">
        <v>466</v>
      </c>
      <c r="F10" s="20">
        <v>381</v>
      </c>
      <c r="G10" s="20">
        <v>322</v>
      </c>
      <c r="H10" s="20">
        <v>926</v>
      </c>
    </row>
    <row r="11" spans="1:8" ht="21" x14ac:dyDescent="0.4">
      <c r="A11" s="19">
        <v>20019</v>
      </c>
      <c r="B11" s="20" t="s">
        <v>159</v>
      </c>
      <c r="C11" s="20">
        <v>402</v>
      </c>
      <c r="D11" s="20">
        <v>893</v>
      </c>
      <c r="E11" s="20">
        <v>331</v>
      </c>
      <c r="F11" s="20">
        <v>466</v>
      </c>
      <c r="G11" s="20">
        <v>646</v>
      </c>
      <c r="H11" s="20">
        <v>275</v>
      </c>
    </row>
    <row r="12" spans="1:8" ht="21" x14ac:dyDescent="0.4">
      <c r="A12" s="19">
        <v>20020</v>
      </c>
      <c r="B12" s="20" t="s">
        <v>160</v>
      </c>
      <c r="C12" s="20">
        <v>465</v>
      </c>
      <c r="D12" s="20">
        <v>462</v>
      </c>
      <c r="E12" s="20">
        <v>874</v>
      </c>
      <c r="F12" s="20">
        <v>638</v>
      </c>
      <c r="G12" s="20">
        <v>762</v>
      </c>
      <c r="H12" s="20">
        <v>600</v>
      </c>
    </row>
    <row r="13" spans="1:8" ht="21" x14ac:dyDescent="0.4">
      <c r="A13" s="19">
        <v>20021</v>
      </c>
      <c r="B13" s="20" t="s">
        <v>161</v>
      </c>
      <c r="C13" s="20">
        <v>790</v>
      </c>
      <c r="D13" s="20">
        <v>925</v>
      </c>
      <c r="E13" s="20">
        <v>399</v>
      </c>
      <c r="F13" s="20">
        <v>535</v>
      </c>
      <c r="G13" s="20">
        <v>639</v>
      </c>
      <c r="H13" s="20">
        <v>899</v>
      </c>
    </row>
    <row r="14" spans="1:8" ht="21" x14ac:dyDescent="0.4">
      <c r="A14" s="19">
        <v>20022</v>
      </c>
      <c r="B14" s="20" t="s">
        <v>162</v>
      </c>
      <c r="C14" s="20">
        <v>269</v>
      </c>
      <c r="D14" s="20">
        <v>381</v>
      </c>
      <c r="E14" s="20">
        <v>795</v>
      </c>
      <c r="F14" s="20">
        <v>800</v>
      </c>
      <c r="G14" s="20">
        <v>233</v>
      </c>
      <c r="H14" s="20">
        <v>360</v>
      </c>
    </row>
    <row r="15" spans="1:8" ht="21" x14ac:dyDescent="0.4">
      <c r="A15" s="19">
        <v>20023</v>
      </c>
      <c r="B15" s="20" t="s">
        <v>163</v>
      </c>
      <c r="C15" s="20">
        <v>237</v>
      </c>
      <c r="D15" s="20">
        <v>832</v>
      </c>
      <c r="E15" s="20">
        <v>883</v>
      </c>
      <c r="F15" s="20">
        <v>883</v>
      </c>
      <c r="G15" s="20">
        <v>769</v>
      </c>
      <c r="H15" s="20">
        <v>511</v>
      </c>
    </row>
    <row r="21" spans="4:8" x14ac:dyDescent="0.3">
      <c r="D21" t="s">
        <v>171</v>
      </c>
      <c r="E21" t="s">
        <v>170</v>
      </c>
      <c r="F21" t="s">
        <v>169</v>
      </c>
      <c r="G21" t="s">
        <v>167</v>
      </c>
      <c r="H21" t="s">
        <v>168</v>
      </c>
    </row>
    <row r="22" spans="4:8" x14ac:dyDescent="0.3">
      <c r="E22">
        <f>SUBTOTAL(101,H4:H15)</f>
        <v>694.66666666666663</v>
      </c>
      <c r="F22">
        <f>SUBTOTAL(5,H4:H15)</f>
        <v>275</v>
      </c>
      <c r="G22">
        <f>SUBTOTAL(4,H4:H15)</f>
        <v>974</v>
      </c>
      <c r="H22" s="23">
        <f>SUBTOTAL(9,H4:H15)</f>
        <v>8336</v>
      </c>
    </row>
  </sheetData>
  <autoFilter ref="A3:H3" xr:uid="{55785F61-3879-4CA3-9114-1DC94E5836F2}"/>
  <mergeCells count="1">
    <mergeCell ref="A1:H2"/>
  </mergeCells>
  <dataValidations count="1">
    <dataValidation type="list" allowBlank="1" showInputMessage="1" showErrorMessage="1" sqref="A4:A15" xr:uid="{606C5A47-5063-485A-A800-5211EABC61ED}">
      <formula1>$D$4:$D$15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2E51-5B0C-4176-A071-6BCB328B00B6}">
  <dimension ref="A1:F12"/>
  <sheetViews>
    <sheetView workbookViewId="0">
      <selection activeCell="E22" sqref="E22"/>
    </sheetView>
  </sheetViews>
  <sheetFormatPr defaultRowHeight="14.4" x14ac:dyDescent="0.3"/>
  <sheetData>
    <row r="1" spans="1:6" x14ac:dyDescent="0.3">
      <c r="A1" s="13"/>
      <c r="B1" s="13"/>
      <c r="C1" s="13"/>
      <c r="D1" s="13"/>
      <c r="E1" s="13"/>
      <c r="F1" s="13"/>
    </row>
    <row r="2" spans="1:6" x14ac:dyDescent="0.3">
      <c r="A2" s="14"/>
      <c r="B2" s="14"/>
      <c r="C2" s="14"/>
      <c r="D2" s="14"/>
      <c r="E2" s="14"/>
      <c r="F2" s="14"/>
    </row>
    <row r="3" spans="1:6" x14ac:dyDescent="0.3">
      <c r="A3" s="14"/>
      <c r="B3" s="14"/>
      <c r="C3" s="14"/>
      <c r="D3" s="14"/>
      <c r="E3" s="14"/>
      <c r="F3" s="14"/>
    </row>
    <row r="4" spans="1:6" x14ac:dyDescent="0.3">
      <c r="A4" s="14"/>
      <c r="B4" s="14"/>
      <c r="C4" s="14"/>
      <c r="D4" s="14"/>
      <c r="E4" s="14"/>
      <c r="F4" s="14"/>
    </row>
    <row r="5" spans="1:6" x14ac:dyDescent="0.3">
      <c r="A5" s="14"/>
      <c r="B5" s="14"/>
      <c r="C5" s="14"/>
      <c r="D5" s="14"/>
      <c r="E5" s="14"/>
      <c r="F5" s="14"/>
    </row>
    <row r="6" spans="1:6" x14ac:dyDescent="0.3">
      <c r="A6" s="14"/>
      <c r="B6" s="14"/>
      <c r="C6" s="14"/>
      <c r="D6" s="14"/>
      <c r="E6" s="14"/>
      <c r="F6" s="14"/>
    </row>
    <row r="7" spans="1:6" x14ac:dyDescent="0.3">
      <c r="A7" s="14"/>
      <c r="B7" s="14"/>
      <c r="C7" s="14"/>
      <c r="D7" s="14"/>
      <c r="E7" s="14"/>
      <c r="F7" s="14"/>
    </row>
    <row r="8" spans="1:6" x14ac:dyDescent="0.3">
      <c r="A8" s="14"/>
      <c r="B8" s="14"/>
      <c r="C8" s="14"/>
      <c r="D8" s="14"/>
      <c r="E8" s="14"/>
      <c r="F8" s="14"/>
    </row>
    <row r="9" spans="1:6" x14ac:dyDescent="0.3">
      <c r="A9" s="14"/>
      <c r="B9" s="14"/>
      <c r="C9" s="14"/>
      <c r="D9" s="14"/>
      <c r="E9" s="14"/>
      <c r="F9" s="14"/>
    </row>
    <row r="10" spans="1:6" x14ac:dyDescent="0.3">
      <c r="A10" s="14"/>
      <c r="B10" s="14"/>
      <c r="C10" s="14"/>
      <c r="D10" s="14"/>
      <c r="E10" s="14"/>
      <c r="F10" s="14"/>
    </row>
    <row r="11" spans="1:6" x14ac:dyDescent="0.3">
      <c r="A11" s="14"/>
      <c r="B11" s="14"/>
      <c r="C11" s="14"/>
      <c r="D11" s="14"/>
      <c r="E11" s="14"/>
      <c r="F11" s="14"/>
    </row>
    <row r="12" spans="1:6" x14ac:dyDescent="0.3">
      <c r="A12" s="14"/>
      <c r="B12" s="13"/>
      <c r="C12" s="14"/>
      <c r="D12" s="14"/>
      <c r="E12" s="14"/>
      <c r="F1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61C4-BEC3-4AD4-B9A3-43D45F180AAA}">
  <dimension ref="A1:J15"/>
  <sheetViews>
    <sheetView tabSelected="1" topLeftCell="A2" workbookViewId="0">
      <selection activeCell="M8" sqref="M8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6.33203125" bestFit="1" customWidth="1"/>
    <col min="4" max="4" width="17.88671875" bestFit="1" customWidth="1"/>
    <col min="5" max="5" width="16.33203125" bestFit="1" customWidth="1"/>
    <col min="6" max="6" width="9" bestFit="1" customWidth="1"/>
    <col min="7" max="7" width="9.77734375" bestFit="1" customWidth="1"/>
    <col min="8" max="8" width="14.44140625" bestFit="1" customWidth="1"/>
  </cols>
  <sheetData>
    <row r="1" spans="1:10" x14ac:dyDescent="0.3">
      <c r="A1" s="15" t="s">
        <v>136</v>
      </c>
      <c r="B1" s="15"/>
      <c r="C1" s="15"/>
      <c r="D1" s="15"/>
      <c r="E1" s="15"/>
      <c r="F1" s="15"/>
      <c r="G1" s="15"/>
      <c r="H1" s="15"/>
    </row>
    <row r="2" spans="1:10" x14ac:dyDescent="0.3">
      <c r="A2" s="16"/>
      <c r="B2" s="16"/>
      <c r="C2" s="16"/>
      <c r="D2" s="16"/>
      <c r="E2" s="16"/>
      <c r="F2" s="16"/>
      <c r="G2" s="16"/>
      <c r="H2" s="16"/>
    </row>
    <row r="3" spans="1:10" ht="23.4" x14ac:dyDescent="0.45">
      <c r="A3" s="17" t="s">
        <v>137</v>
      </c>
      <c r="B3" s="18" t="s">
        <v>108</v>
      </c>
      <c r="C3" s="18" t="s">
        <v>138</v>
      </c>
      <c r="D3" s="17" t="s">
        <v>139</v>
      </c>
      <c r="E3" s="17" t="s">
        <v>140</v>
      </c>
      <c r="F3" s="17" t="s">
        <v>141</v>
      </c>
      <c r="G3" s="17" t="s">
        <v>142</v>
      </c>
      <c r="H3" s="17" t="s">
        <v>143</v>
      </c>
    </row>
    <row r="4" spans="1:10" ht="21" x14ac:dyDescent="0.4">
      <c r="A4" s="19">
        <v>20012</v>
      </c>
      <c r="B4" s="20" t="s">
        <v>144</v>
      </c>
      <c r="C4" s="20">
        <v>26</v>
      </c>
      <c r="D4" s="21" t="s">
        <v>145</v>
      </c>
      <c r="E4" s="21" t="s">
        <v>146</v>
      </c>
      <c r="F4" s="21">
        <v>26500</v>
      </c>
      <c r="G4" s="21" t="s">
        <v>147</v>
      </c>
      <c r="H4" s="22">
        <v>8877456987</v>
      </c>
      <c r="J4">
        <f>SUMIF(E3:E15,"TECHNICAL",F3:F15)</f>
        <v>167000</v>
      </c>
    </row>
    <row r="5" spans="1:10" ht="21" x14ac:dyDescent="0.4">
      <c r="A5" s="19">
        <v>20013</v>
      </c>
      <c r="B5" s="20" t="s">
        <v>148</v>
      </c>
      <c r="C5" s="20">
        <v>25</v>
      </c>
      <c r="D5" s="21" t="s">
        <v>149</v>
      </c>
      <c r="E5" s="21" t="s">
        <v>150</v>
      </c>
      <c r="F5" s="21">
        <v>13000</v>
      </c>
      <c r="G5" s="21" t="s">
        <v>151</v>
      </c>
      <c r="H5" s="22">
        <v>8569741235</v>
      </c>
    </row>
    <row r="6" spans="1:10" ht="21" x14ac:dyDescent="0.4">
      <c r="A6" s="19">
        <v>20014</v>
      </c>
      <c r="B6" s="20" t="s">
        <v>152</v>
      </c>
      <c r="C6" s="20">
        <v>28</v>
      </c>
      <c r="D6" s="21" t="s">
        <v>153</v>
      </c>
      <c r="E6" s="21" t="s">
        <v>146</v>
      </c>
      <c r="F6" s="21">
        <v>20000</v>
      </c>
      <c r="G6" s="21" t="s">
        <v>147</v>
      </c>
      <c r="H6" s="22">
        <v>7584963214</v>
      </c>
    </row>
    <row r="7" spans="1:10" ht="21" x14ac:dyDescent="0.4">
      <c r="A7" s="19">
        <v>20015</v>
      </c>
      <c r="B7" s="20" t="s">
        <v>154</v>
      </c>
      <c r="C7" s="20">
        <v>27</v>
      </c>
      <c r="D7" s="21" t="s">
        <v>149</v>
      </c>
      <c r="E7" s="21" t="s">
        <v>150</v>
      </c>
      <c r="F7" s="21">
        <v>15000</v>
      </c>
      <c r="G7" s="21" t="s">
        <v>151</v>
      </c>
      <c r="H7" s="22">
        <v>7788994455</v>
      </c>
    </row>
    <row r="8" spans="1:10" ht="21" x14ac:dyDescent="0.4">
      <c r="A8" s="19">
        <v>20016</v>
      </c>
      <c r="B8" s="20" t="s">
        <v>155</v>
      </c>
      <c r="C8" s="20">
        <v>25</v>
      </c>
      <c r="D8" s="21" t="s">
        <v>145</v>
      </c>
      <c r="E8" s="21" t="s">
        <v>146</v>
      </c>
      <c r="F8" s="21">
        <v>20000</v>
      </c>
      <c r="G8" s="21" t="s">
        <v>156</v>
      </c>
      <c r="H8" s="22">
        <v>8798654512</v>
      </c>
    </row>
    <row r="9" spans="1:10" ht="21" x14ac:dyDescent="0.4">
      <c r="A9" s="19">
        <v>20017</v>
      </c>
      <c r="B9" s="20" t="s">
        <v>157</v>
      </c>
      <c r="C9" s="20">
        <v>26</v>
      </c>
      <c r="D9" s="21" t="s">
        <v>145</v>
      </c>
      <c r="E9" s="21" t="s">
        <v>146</v>
      </c>
      <c r="F9" s="21">
        <v>33000</v>
      </c>
      <c r="G9" s="21" t="s">
        <v>151</v>
      </c>
      <c r="H9" s="22">
        <v>9874563214</v>
      </c>
    </row>
    <row r="10" spans="1:10" ht="21" x14ac:dyDescent="0.4">
      <c r="A10" s="19">
        <v>20018</v>
      </c>
      <c r="B10" s="20" t="s">
        <v>158</v>
      </c>
      <c r="C10" s="20">
        <v>25</v>
      </c>
      <c r="D10" s="21" t="s">
        <v>153</v>
      </c>
      <c r="E10" s="21" t="s">
        <v>146</v>
      </c>
      <c r="F10" s="21">
        <v>21000</v>
      </c>
      <c r="G10" s="21" t="s">
        <v>147</v>
      </c>
      <c r="H10" s="22">
        <v>8974563214</v>
      </c>
    </row>
    <row r="11" spans="1:10" ht="21" x14ac:dyDescent="0.4">
      <c r="A11" s="19">
        <v>20019</v>
      </c>
      <c r="B11" s="20" t="s">
        <v>159</v>
      </c>
      <c r="C11" s="20">
        <v>26</v>
      </c>
      <c r="D11" s="21" t="s">
        <v>149</v>
      </c>
      <c r="E11" s="21" t="s">
        <v>150</v>
      </c>
      <c r="F11" s="21">
        <v>31500</v>
      </c>
      <c r="G11" s="21" t="s">
        <v>151</v>
      </c>
      <c r="H11" s="22">
        <v>8745968745</v>
      </c>
    </row>
    <row r="12" spans="1:10" ht="21" x14ac:dyDescent="0.4">
      <c r="A12" s="19">
        <v>20020</v>
      </c>
      <c r="B12" s="20" t="s">
        <v>160</v>
      </c>
      <c r="C12" s="20">
        <v>28</v>
      </c>
      <c r="D12" s="21" t="s">
        <v>149</v>
      </c>
      <c r="E12" s="21" t="s">
        <v>150</v>
      </c>
      <c r="F12" s="21">
        <v>40500</v>
      </c>
      <c r="G12" s="21" t="s">
        <v>147</v>
      </c>
      <c r="H12" s="22">
        <v>9874569874</v>
      </c>
    </row>
    <row r="13" spans="1:10" ht="21" x14ac:dyDescent="0.4">
      <c r="A13" s="19">
        <v>20021</v>
      </c>
      <c r="B13" s="20" t="s">
        <v>161</v>
      </c>
      <c r="C13" s="20">
        <v>27</v>
      </c>
      <c r="D13" s="21" t="s">
        <v>145</v>
      </c>
      <c r="E13" s="21" t="s">
        <v>146</v>
      </c>
      <c r="F13" s="21">
        <v>25500</v>
      </c>
      <c r="G13" s="21" t="s">
        <v>156</v>
      </c>
      <c r="H13" s="22">
        <v>8574965874</v>
      </c>
    </row>
    <row r="14" spans="1:10" ht="21" x14ac:dyDescent="0.4">
      <c r="A14" s="19">
        <v>20022</v>
      </c>
      <c r="B14" s="20" t="s">
        <v>162</v>
      </c>
      <c r="C14" s="20">
        <v>26</v>
      </c>
      <c r="D14" s="21" t="s">
        <v>149</v>
      </c>
      <c r="E14" s="21" t="s">
        <v>150</v>
      </c>
      <c r="F14" s="21">
        <v>18000</v>
      </c>
      <c r="G14" s="21" t="s">
        <v>156</v>
      </c>
      <c r="H14" s="22">
        <v>8521479632</v>
      </c>
    </row>
    <row r="15" spans="1:10" ht="21" x14ac:dyDescent="0.4">
      <c r="A15" s="19">
        <v>20023</v>
      </c>
      <c r="B15" s="20" t="s">
        <v>163</v>
      </c>
      <c r="C15" s="20">
        <v>27</v>
      </c>
      <c r="D15" s="21" t="s">
        <v>153</v>
      </c>
      <c r="E15" s="21" t="s">
        <v>146</v>
      </c>
      <c r="F15" s="21">
        <v>21000</v>
      </c>
      <c r="G15" s="21" t="s">
        <v>147</v>
      </c>
      <c r="H15" s="22">
        <v>8569745623</v>
      </c>
    </row>
  </sheetData>
  <mergeCells count="1">
    <mergeCell ref="A1:H2"/>
  </mergeCells>
  <dataValidations count="1">
    <dataValidation type="list" allowBlank="1" showInputMessage="1" showErrorMessage="1" sqref="A4:A15" xr:uid="{B4D048FC-1A4F-4768-B102-F14B746F62CA}">
      <formula1>$D$4:$D$15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ED44-F2ED-4E26-A6A4-24E9DA5AAE9D}">
  <dimension ref="A1:K9"/>
  <sheetViews>
    <sheetView zoomScale="112" workbookViewId="0">
      <selection activeCell="B1" sqref="B1:B6"/>
    </sheetView>
  </sheetViews>
  <sheetFormatPr defaultRowHeight="14.4" x14ac:dyDescent="0.3"/>
  <cols>
    <col min="7" max="7" width="12.77734375" customWidth="1"/>
    <col min="8" max="8" width="77" customWidth="1"/>
  </cols>
  <sheetData>
    <row r="1" spans="1:11" x14ac:dyDescent="0.3">
      <c r="A1" s="9" t="s">
        <v>70</v>
      </c>
      <c r="B1" s="9" t="s">
        <v>25</v>
      </c>
      <c r="C1" s="9" t="s">
        <v>76</v>
      </c>
      <c r="D1" s="9" t="s">
        <v>77</v>
      </c>
      <c r="E1" s="9" t="s">
        <v>78</v>
      </c>
      <c r="G1" s="10" t="s">
        <v>79</v>
      </c>
      <c r="K1" s="8" t="s">
        <v>58</v>
      </c>
    </row>
    <row r="2" spans="1:11" x14ac:dyDescent="0.3">
      <c r="A2" s="1">
        <v>101</v>
      </c>
      <c r="B2" s="1" t="s">
        <v>71</v>
      </c>
      <c r="C2" s="1">
        <v>47</v>
      </c>
      <c r="D2" s="1">
        <v>80</v>
      </c>
      <c r="E2" s="1">
        <v>77</v>
      </c>
      <c r="G2">
        <v>1</v>
      </c>
      <c r="H2" t="s">
        <v>80</v>
      </c>
      <c r="K2">
        <f>INDEX(A1:E6,3,3)</f>
        <v>50</v>
      </c>
    </row>
    <row r="3" spans="1:11" x14ac:dyDescent="0.3">
      <c r="A3" s="1">
        <v>102</v>
      </c>
      <c r="B3" s="1" t="s">
        <v>72</v>
      </c>
      <c r="C3" s="1">
        <v>50</v>
      </c>
      <c r="D3" s="1">
        <v>57</v>
      </c>
      <c r="E3" s="1">
        <v>99</v>
      </c>
      <c r="G3">
        <v>2</v>
      </c>
      <c r="H3" t="s">
        <v>81</v>
      </c>
      <c r="K3">
        <f>INDEX(A1:E6,4,4)</f>
        <v>100</v>
      </c>
    </row>
    <row r="4" spans="1:11" x14ac:dyDescent="0.3">
      <c r="A4" s="1">
        <v>103</v>
      </c>
      <c r="B4" s="1" t="s">
        <v>73</v>
      </c>
      <c r="C4" s="1">
        <v>79</v>
      </c>
      <c r="D4" s="1">
        <v>100</v>
      </c>
      <c r="E4" s="1">
        <v>75</v>
      </c>
      <c r="G4">
        <v>3</v>
      </c>
      <c r="H4" t="s">
        <v>82</v>
      </c>
      <c r="K4">
        <f>INDEX(A1:E6,5,5)</f>
        <v>81</v>
      </c>
    </row>
    <row r="5" spans="1:11" x14ac:dyDescent="0.3">
      <c r="A5" s="1">
        <v>104</v>
      </c>
      <c r="B5" s="1" t="s">
        <v>74</v>
      </c>
      <c r="C5" s="1">
        <v>80</v>
      </c>
      <c r="D5" s="1">
        <v>46</v>
      </c>
      <c r="E5" s="1">
        <v>81</v>
      </c>
      <c r="G5">
        <v>4</v>
      </c>
      <c r="H5" t="s">
        <v>83</v>
      </c>
      <c r="K5" t="str">
        <f>INDEX(A1:E6,3,2)</f>
        <v>PRIYA</v>
      </c>
    </row>
    <row r="6" spans="1:11" x14ac:dyDescent="0.3">
      <c r="A6" s="1">
        <v>105</v>
      </c>
      <c r="B6" s="1" t="s">
        <v>75</v>
      </c>
      <c r="C6" s="1">
        <v>79</v>
      </c>
      <c r="D6" s="1">
        <v>63</v>
      </c>
      <c r="E6" s="1">
        <v>96</v>
      </c>
      <c r="G6">
        <v>5</v>
      </c>
      <c r="H6" t="s">
        <v>84</v>
      </c>
      <c r="J6" t="s">
        <v>75</v>
      </c>
      <c r="K6">
        <f>INDEX(A1:E6,MATCH(J6,B1:B6,0),4)</f>
        <v>63</v>
      </c>
    </row>
    <row r="7" spans="1:11" x14ac:dyDescent="0.3">
      <c r="G7">
        <v>6</v>
      </c>
      <c r="H7" t="s">
        <v>85</v>
      </c>
      <c r="I7" t="s">
        <v>71</v>
      </c>
      <c r="J7" t="s">
        <v>78</v>
      </c>
      <c r="K7">
        <f>INDEX(A1:E6,MATCH(I7,B1:B6,0),MATCH(J7,A1:E1,0))</f>
        <v>77</v>
      </c>
    </row>
    <row r="8" spans="1:11" x14ac:dyDescent="0.3">
      <c r="G8">
        <v>7</v>
      </c>
      <c r="H8" t="s">
        <v>86</v>
      </c>
      <c r="I8" t="s">
        <v>72</v>
      </c>
      <c r="J8" t="s">
        <v>76</v>
      </c>
      <c r="K8">
        <f>INDEX(A1:E6,MATCH(I8,B1:B6,0),MATCH(J8,A1:E1,0))</f>
        <v>50</v>
      </c>
    </row>
    <row r="9" spans="1:11" x14ac:dyDescent="0.3">
      <c r="G9">
        <v>8</v>
      </c>
      <c r="H9" t="s">
        <v>87</v>
      </c>
      <c r="I9">
        <v>103</v>
      </c>
      <c r="J9" t="s">
        <v>77</v>
      </c>
      <c r="K9">
        <f>INDEX(A1:E6,MATCH(I9,A1:A6,0),MATCH(J9,A1:E1,0))</f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DE29-7EB3-477A-B5C3-B6F90B796EF9}">
  <dimension ref="A1:J21"/>
  <sheetViews>
    <sheetView workbookViewId="0">
      <selection activeCell="F8" sqref="F8"/>
    </sheetView>
  </sheetViews>
  <sheetFormatPr defaultRowHeight="14.4" x14ac:dyDescent="0.3"/>
  <sheetData>
    <row r="1" spans="1:10" x14ac:dyDescent="0.3">
      <c r="A1" s="8" t="s">
        <v>70</v>
      </c>
      <c r="B1" s="9" t="s">
        <v>25</v>
      </c>
      <c r="C1" s="8" t="s">
        <v>100</v>
      </c>
      <c r="D1" s="8" t="s">
        <v>105</v>
      </c>
      <c r="G1" s="12" t="s">
        <v>106</v>
      </c>
    </row>
    <row r="2" spans="1:10" x14ac:dyDescent="0.3">
      <c r="A2" cm="1">
        <f t="array" ref="A2:A21">_xlfn.SEQUENCE(20)</f>
        <v>1</v>
      </c>
      <c r="B2" s="1" t="s">
        <v>98</v>
      </c>
      <c r="C2" t="s">
        <v>101</v>
      </c>
      <c r="D2">
        <v>2</v>
      </c>
      <c r="F2" t="s">
        <v>72</v>
      </c>
      <c r="G2" cm="1">
        <f t="array" ref="G2:J3">_xlfn._xlws.FILTER(A1:D21,B1:B21=F2)</f>
        <v>2</v>
      </c>
      <c r="H2" t="str">
        <v>PRIYA</v>
      </c>
      <c r="I2" t="str">
        <v>BLUE</v>
      </c>
      <c r="J2">
        <v>5</v>
      </c>
    </row>
    <row r="3" spans="1:10" x14ac:dyDescent="0.3">
      <c r="A3">
        <v>2</v>
      </c>
      <c r="B3" s="1" t="s">
        <v>72</v>
      </c>
      <c r="C3" t="s">
        <v>102</v>
      </c>
      <c r="D3">
        <v>5</v>
      </c>
      <c r="G3">
        <v>16</v>
      </c>
      <c r="H3" t="str">
        <v>PRIYA</v>
      </c>
      <c r="I3" t="str">
        <v>BLUE</v>
      </c>
      <c r="J3">
        <v>3</v>
      </c>
    </row>
    <row r="4" spans="1:10" x14ac:dyDescent="0.3">
      <c r="A4">
        <v>3</v>
      </c>
      <c r="B4" s="1" t="s">
        <v>99</v>
      </c>
      <c r="C4" t="s">
        <v>103</v>
      </c>
      <c r="D4">
        <v>15</v>
      </c>
    </row>
    <row r="5" spans="1:10" x14ac:dyDescent="0.3">
      <c r="A5">
        <v>4</v>
      </c>
      <c r="B5" s="1" t="s">
        <v>74</v>
      </c>
      <c r="C5" t="s">
        <v>104</v>
      </c>
      <c r="D5">
        <v>13</v>
      </c>
    </row>
    <row r="6" spans="1:10" x14ac:dyDescent="0.3">
      <c r="A6">
        <v>5</v>
      </c>
      <c r="B6" s="1" t="s">
        <v>75</v>
      </c>
      <c r="C6" t="s">
        <v>101</v>
      </c>
      <c r="D6">
        <v>13</v>
      </c>
    </row>
    <row r="7" spans="1:10" x14ac:dyDescent="0.3">
      <c r="A7">
        <v>6</v>
      </c>
      <c r="B7" s="11" t="s">
        <v>88</v>
      </c>
      <c r="C7" t="s">
        <v>102</v>
      </c>
      <c r="D7">
        <v>2</v>
      </c>
    </row>
    <row r="8" spans="1:10" x14ac:dyDescent="0.3">
      <c r="A8">
        <v>7</v>
      </c>
      <c r="B8" s="11" t="s">
        <v>89</v>
      </c>
      <c r="C8" t="s">
        <v>104</v>
      </c>
      <c r="D8">
        <v>10</v>
      </c>
    </row>
    <row r="9" spans="1:10" x14ac:dyDescent="0.3">
      <c r="A9">
        <v>8</v>
      </c>
      <c r="B9" s="11" t="s">
        <v>90</v>
      </c>
      <c r="C9" t="s">
        <v>103</v>
      </c>
      <c r="D9">
        <v>6</v>
      </c>
    </row>
    <row r="10" spans="1:10" x14ac:dyDescent="0.3">
      <c r="A10">
        <v>9</v>
      </c>
      <c r="B10" s="11" t="s">
        <v>91</v>
      </c>
      <c r="C10" t="s">
        <v>101</v>
      </c>
      <c r="D10">
        <v>8</v>
      </c>
    </row>
    <row r="11" spans="1:10" x14ac:dyDescent="0.3">
      <c r="A11">
        <v>10</v>
      </c>
      <c r="B11" s="11" t="s">
        <v>92</v>
      </c>
      <c r="C11" t="s">
        <v>104</v>
      </c>
      <c r="D11">
        <v>2</v>
      </c>
    </row>
    <row r="12" spans="1:10" x14ac:dyDescent="0.3">
      <c r="A12">
        <v>11</v>
      </c>
      <c r="B12" s="11" t="s">
        <v>93</v>
      </c>
      <c r="C12" t="s">
        <v>103</v>
      </c>
      <c r="D12">
        <v>16</v>
      </c>
    </row>
    <row r="13" spans="1:10" x14ac:dyDescent="0.3">
      <c r="A13">
        <v>12</v>
      </c>
      <c r="B13" s="11" t="s">
        <v>94</v>
      </c>
      <c r="C13" t="s">
        <v>102</v>
      </c>
      <c r="D13">
        <v>18</v>
      </c>
    </row>
    <row r="14" spans="1:10" x14ac:dyDescent="0.3">
      <c r="A14">
        <v>13</v>
      </c>
      <c r="B14" s="11" t="s">
        <v>95</v>
      </c>
      <c r="C14" t="s">
        <v>101</v>
      </c>
      <c r="D14">
        <v>10</v>
      </c>
    </row>
    <row r="15" spans="1:10" x14ac:dyDescent="0.3">
      <c r="A15">
        <v>14</v>
      </c>
      <c r="B15" s="11" t="s">
        <v>96</v>
      </c>
      <c r="C15" t="s">
        <v>102</v>
      </c>
      <c r="D15">
        <v>12</v>
      </c>
    </row>
    <row r="16" spans="1:10" x14ac:dyDescent="0.3">
      <c r="A16">
        <v>15</v>
      </c>
      <c r="B16" s="1" t="s">
        <v>71</v>
      </c>
      <c r="C16" t="s">
        <v>103</v>
      </c>
      <c r="D16">
        <v>13</v>
      </c>
    </row>
    <row r="17" spans="1:4" x14ac:dyDescent="0.3">
      <c r="A17">
        <v>16</v>
      </c>
      <c r="B17" s="1" t="s">
        <v>72</v>
      </c>
      <c r="C17" t="s">
        <v>102</v>
      </c>
      <c r="D17">
        <v>3</v>
      </c>
    </row>
    <row r="18" spans="1:4" x14ac:dyDescent="0.3">
      <c r="A18">
        <v>17</v>
      </c>
      <c r="B18" s="1" t="s">
        <v>73</v>
      </c>
      <c r="C18" t="s">
        <v>101</v>
      </c>
      <c r="D18">
        <v>18</v>
      </c>
    </row>
    <row r="19" spans="1:4" x14ac:dyDescent="0.3">
      <c r="A19">
        <v>18</v>
      </c>
      <c r="B19" s="1" t="s">
        <v>74</v>
      </c>
      <c r="C19" t="s">
        <v>104</v>
      </c>
      <c r="D19">
        <v>18</v>
      </c>
    </row>
    <row r="20" spans="1:4" x14ac:dyDescent="0.3">
      <c r="A20">
        <v>19</v>
      </c>
      <c r="B20" s="1" t="s">
        <v>75</v>
      </c>
      <c r="C20" t="s">
        <v>103</v>
      </c>
      <c r="D20">
        <v>13</v>
      </c>
    </row>
    <row r="21" spans="1:4" x14ac:dyDescent="0.3">
      <c r="A21">
        <v>20</v>
      </c>
      <c r="B21" s="11" t="s">
        <v>97</v>
      </c>
      <c r="C21" t="s">
        <v>101</v>
      </c>
      <c r="D2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C531-11E1-45AB-9139-311EDC9A857F}">
  <dimension ref="A1:M22"/>
  <sheetViews>
    <sheetView topLeftCell="N1" workbookViewId="0">
      <selection activeCell="G24" sqref="G24"/>
    </sheetView>
  </sheetViews>
  <sheetFormatPr defaultRowHeight="14.4" x14ac:dyDescent="0.3"/>
  <cols>
    <col min="8" max="8" width="44.88671875" customWidth="1"/>
  </cols>
  <sheetData>
    <row r="1" spans="1:13" x14ac:dyDescent="0.3">
      <c r="A1" t="s">
        <v>107</v>
      </c>
      <c r="B1" t="s">
        <v>108</v>
      </c>
      <c r="C1" t="s">
        <v>26</v>
      </c>
      <c r="D1" t="s">
        <v>27</v>
      </c>
      <c r="E1" t="s">
        <v>109</v>
      </c>
    </row>
    <row r="2" spans="1:13" x14ac:dyDescent="0.3">
      <c r="A2" t="s">
        <v>110</v>
      </c>
      <c r="B2" t="s">
        <v>115</v>
      </c>
      <c r="C2" t="s">
        <v>62</v>
      </c>
      <c r="D2">
        <v>25000</v>
      </c>
      <c r="E2" t="s">
        <v>120</v>
      </c>
      <c r="G2">
        <v>1</v>
      </c>
      <c r="H2" t="s">
        <v>125</v>
      </c>
      <c r="I2" t="str" cm="1">
        <f t="array" ref="I2:M3">_xlfn._xlws.FILTER(A1:E6,C1:C6="IT")</f>
        <v>EMP102</v>
      </c>
      <c r="J2" t="str">
        <v>NEHA</v>
      </c>
      <c r="K2" t="str">
        <v>IT</v>
      </c>
      <c r="L2">
        <v>32000</v>
      </c>
      <c r="M2" t="str">
        <v>MUMBAI</v>
      </c>
    </row>
    <row r="3" spans="1:13" x14ac:dyDescent="0.3">
      <c r="A3" t="s">
        <v>111</v>
      </c>
      <c r="B3" t="s">
        <v>116</v>
      </c>
      <c r="C3" t="s">
        <v>35</v>
      </c>
      <c r="D3">
        <v>32000</v>
      </c>
      <c r="E3" t="s">
        <v>121</v>
      </c>
      <c r="I3" t="str">
        <v>EMP105</v>
      </c>
      <c r="J3" t="str">
        <v>KARAN</v>
      </c>
      <c r="K3" t="str">
        <v>IT</v>
      </c>
      <c r="L3">
        <v>30000</v>
      </c>
      <c r="M3" t="str">
        <v>INDORE</v>
      </c>
    </row>
    <row r="4" spans="1:13" x14ac:dyDescent="0.3">
      <c r="A4" t="s">
        <v>112</v>
      </c>
      <c r="B4" t="s">
        <v>117</v>
      </c>
      <c r="C4" t="s">
        <v>3</v>
      </c>
      <c r="D4">
        <v>28000</v>
      </c>
      <c r="E4" t="s">
        <v>122</v>
      </c>
    </row>
    <row r="5" spans="1:13" x14ac:dyDescent="0.3">
      <c r="A5" t="s">
        <v>113</v>
      </c>
      <c r="B5" t="s">
        <v>94</v>
      </c>
      <c r="C5" t="s">
        <v>119</v>
      </c>
      <c r="D5">
        <v>35000</v>
      </c>
      <c r="E5" t="s">
        <v>123</v>
      </c>
      <c r="G5">
        <v>2</v>
      </c>
      <c r="H5" t="s">
        <v>126</v>
      </c>
      <c r="I5" t="str" cm="1">
        <f t="array" ref="I5:M7">_xlfn._xlws.FILTER(A1:E6,D1:D6&gt;30000)</f>
        <v>IMP ID</v>
      </c>
      <c r="J5" t="str">
        <v>Name</v>
      </c>
      <c r="K5" t="str">
        <v>DEPT</v>
      </c>
      <c r="L5" t="str">
        <v>SALARY</v>
      </c>
      <c r="M5" t="str">
        <v>CITY</v>
      </c>
    </row>
    <row r="6" spans="1:13" x14ac:dyDescent="0.3">
      <c r="A6" t="s">
        <v>114</v>
      </c>
      <c r="B6" t="s">
        <v>118</v>
      </c>
      <c r="C6" t="s">
        <v>35</v>
      </c>
      <c r="D6">
        <v>30000</v>
      </c>
      <c r="E6" t="s">
        <v>124</v>
      </c>
      <c r="I6" t="str">
        <v>EMP102</v>
      </c>
      <c r="J6" t="str">
        <v>NEHA</v>
      </c>
      <c r="K6" t="str">
        <v>IT</v>
      </c>
      <c r="L6">
        <v>32000</v>
      </c>
      <c r="M6" t="str">
        <v>MUMBAI</v>
      </c>
    </row>
    <row r="7" spans="1:13" x14ac:dyDescent="0.3">
      <c r="I7" t="str">
        <v>EMP104</v>
      </c>
      <c r="J7" t="str">
        <v>POOJA</v>
      </c>
      <c r="K7" t="str">
        <v>FINANCE</v>
      </c>
      <c r="L7">
        <v>35000</v>
      </c>
      <c r="M7" t="str">
        <v>BHOPAL</v>
      </c>
    </row>
    <row r="9" spans="1:13" x14ac:dyDescent="0.3">
      <c r="G9">
        <v>3</v>
      </c>
      <c r="H9" t="s">
        <v>127</v>
      </c>
      <c r="I9" t="str" cm="1">
        <f t="array" ref="I9:M9">_xlfn._xlws.FILTER(A1:E6,(C1:C6="IT")*(D1:D6&gt;30000))</f>
        <v>EMP102</v>
      </c>
      <c r="J9" t="str">
        <v>NEHA</v>
      </c>
      <c r="K9" t="str">
        <v>IT</v>
      </c>
      <c r="L9">
        <v>32000</v>
      </c>
      <c r="M9" t="str">
        <v>MUMBAI</v>
      </c>
    </row>
    <row r="11" spans="1:13" x14ac:dyDescent="0.3">
      <c r="G11">
        <v>4</v>
      </c>
      <c r="H11" t="s">
        <v>128</v>
      </c>
      <c r="I11" t="str" cm="1">
        <f t="array" ref="I11:M13">_xlfn._xlws.FILTER(A1:E6,(C1:C6="IT")+(E1:E6="DELHI"))</f>
        <v>EMP101</v>
      </c>
      <c r="J11" t="str">
        <v xml:space="preserve">AMIT </v>
      </c>
      <c r="K11" t="str">
        <v>HR</v>
      </c>
      <c r="L11">
        <v>25000</v>
      </c>
      <c r="M11" t="str">
        <v>DELHI</v>
      </c>
    </row>
    <row r="12" spans="1:13" x14ac:dyDescent="0.3">
      <c r="I12" t="str">
        <v>EMP102</v>
      </c>
      <c r="J12" t="str">
        <v>NEHA</v>
      </c>
      <c r="K12" t="str">
        <v>IT</v>
      </c>
      <c r="L12">
        <v>32000</v>
      </c>
      <c r="M12" t="str">
        <v>MUMBAI</v>
      </c>
    </row>
    <row r="13" spans="1:13" x14ac:dyDescent="0.3">
      <c r="I13" t="str">
        <v>EMP105</v>
      </c>
      <c r="J13" t="str">
        <v>KARAN</v>
      </c>
      <c r="K13" t="str">
        <v>IT</v>
      </c>
      <c r="L13">
        <v>30000</v>
      </c>
      <c r="M13" t="str">
        <v>INDORE</v>
      </c>
    </row>
    <row r="15" spans="1:13" x14ac:dyDescent="0.3">
      <c r="G15">
        <v>5</v>
      </c>
      <c r="H15" t="s">
        <v>129</v>
      </c>
      <c r="I15" t="str" cm="1">
        <f t="array" ref="I15">_xlfn._xlws.FILTER(A1:E6,E1:E6="GOA","NOT FOUND")</f>
        <v>NOT FOUND</v>
      </c>
    </row>
    <row r="17" spans="7:13" x14ac:dyDescent="0.3">
      <c r="G17">
        <v>6</v>
      </c>
      <c r="H17" t="s">
        <v>130</v>
      </c>
      <c r="I17" t="str" cm="1">
        <f t="array" ref="I17:M17">_xlfn._xlws.FILTER(A1:E6,D1:D6=LARGE(A1:E6,1))</f>
        <v>EMP104</v>
      </c>
      <c r="J17" t="str">
        <v>POOJA</v>
      </c>
      <c r="K17" t="str">
        <v>FINANCE</v>
      </c>
      <c r="L17">
        <v>35000</v>
      </c>
      <c r="M17" t="str">
        <v>BHOPAL</v>
      </c>
    </row>
    <row r="19" spans="7:13" x14ac:dyDescent="0.3">
      <c r="G19">
        <v>7</v>
      </c>
      <c r="H19" t="s">
        <v>131</v>
      </c>
      <c r="I19" t="str" cm="1">
        <f t="array" ref="I19:M19">_xlfn._xlws.FILTER(A1:E6,LEFT(B1:B6,1)="A")</f>
        <v>EMP101</v>
      </c>
      <c r="J19" t="str">
        <v xml:space="preserve">AMIT </v>
      </c>
      <c r="K19" t="str">
        <v>HR</v>
      </c>
      <c r="L19">
        <v>25000</v>
      </c>
      <c r="M19" t="str">
        <v>DELHI</v>
      </c>
    </row>
    <row r="21" spans="7:13" x14ac:dyDescent="0.3">
      <c r="G21">
        <v>8</v>
      </c>
      <c r="H21" t="s">
        <v>132</v>
      </c>
      <c r="I21" t="str" cm="1">
        <f t="array" ref="I21:M22">_xlfn._xlws.FILTER(A1:E6,C1:C6=H22)</f>
        <v>EMP102</v>
      </c>
      <c r="J21" t="str">
        <v>NEHA</v>
      </c>
      <c r="K21" t="str">
        <v>IT</v>
      </c>
      <c r="L21">
        <v>32000</v>
      </c>
      <c r="M21" t="str">
        <v>MUMBAI</v>
      </c>
    </row>
    <row r="22" spans="7:13" x14ac:dyDescent="0.3">
      <c r="H22" t="s">
        <v>35</v>
      </c>
      <c r="I22" t="str">
        <v>EMP105</v>
      </c>
      <c r="J22" t="str">
        <v>KARAN</v>
      </c>
      <c r="K22" t="str">
        <v>IT</v>
      </c>
      <c r="L22">
        <v>30000</v>
      </c>
      <c r="M22" t="str">
        <v>INDORE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12F1-2FCA-4B77-830F-8E909D3CD908}">
  <dimension ref="A1:K6"/>
  <sheetViews>
    <sheetView workbookViewId="0">
      <selection activeCell="D22" sqref="D22"/>
    </sheetView>
  </sheetViews>
  <sheetFormatPr defaultRowHeight="14.4" x14ac:dyDescent="0.3"/>
  <sheetData>
    <row r="1" spans="1:11" x14ac:dyDescent="0.3">
      <c r="A1" s="4" t="s">
        <v>41</v>
      </c>
      <c r="B1" s="4" t="s">
        <v>25</v>
      </c>
      <c r="C1" s="4" t="s">
        <v>42</v>
      </c>
      <c r="D1" s="5" t="s">
        <v>46</v>
      </c>
    </row>
    <row r="2" spans="1:11" x14ac:dyDescent="0.3">
      <c r="A2" s="1">
        <v>1</v>
      </c>
      <c r="B2" s="1" t="s">
        <v>29</v>
      </c>
      <c r="C2" s="1">
        <v>85</v>
      </c>
      <c r="D2" t="str" cm="1">
        <f t="array" ref="D2">_xlfn.IFS(C2&gt;90,"A",C2&gt;70,"B",C2&gt;50,"C",C2&gt;30,"D",C2&lt;=30,"FAIL")</f>
        <v>B</v>
      </c>
      <c r="F2" s="1" t="s">
        <v>12</v>
      </c>
      <c r="G2" s="1" t="s">
        <v>43</v>
      </c>
      <c r="H2" s="1"/>
      <c r="I2" s="1"/>
      <c r="J2" s="1"/>
      <c r="K2" s="1"/>
    </row>
    <row r="3" spans="1:11" x14ac:dyDescent="0.3">
      <c r="A3" s="1">
        <v>2</v>
      </c>
      <c r="B3" s="1" t="s">
        <v>30</v>
      </c>
      <c r="C3" s="1">
        <v>45</v>
      </c>
      <c r="D3" t="str" cm="1">
        <f t="array" ref="D3">_xlfn.IFS(C3&gt;90,"A",C3&gt;70,"B",C3&gt;50,"C",C3&gt;30,"D",C3&lt;=30,"FAIL")</f>
        <v>D</v>
      </c>
      <c r="F3" s="1" t="s">
        <v>14</v>
      </c>
      <c r="G3" s="1" t="s">
        <v>44</v>
      </c>
      <c r="H3" s="1"/>
      <c r="I3" s="1"/>
      <c r="J3" s="1"/>
      <c r="K3" s="1">
        <f>COUNTIF(C2:C6,"&gt;50")</f>
        <v>3</v>
      </c>
    </row>
    <row r="4" spans="1:11" x14ac:dyDescent="0.3">
      <c r="A4" s="1">
        <v>3</v>
      </c>
      <c r="B4" s="1" t="s">
        <v>31</v>
      </c>
      <c r="C4" s="1">
        <v>70</v>
      </c>
      <c r="D4" t="str" cm="1">
        <f t="array" ref="D4">_xlfn.IFS(C4&gt;90,"A",C4&gt;70,"B",C4&gt;50,"C",C4&gt;30,"D",C4&lt;=30,"FAIL")</f>
        <v>C</v>
      </c>
      <c r="F4" s="1" t="s">
        <v>16</v>
      </c>
      <c r="G4" s="1" t="s">
        <v>45</v>
      </c>
      <c r="H4" s="1"/>
      <c r="I4" s="1"/>
      <c r="J4" s="1"/>
      <c r="K4" s="1">
        <f>AVERAGE(C2:C6)</f>
        <v>57</v>
      </c>
    </row>
    <row r="5" spans="1:11" x14ac:dyDescent="0.3">
      <c r="A5" s="1">
        <v>4</v>
      </c>
      <c r="B5" s="1" t="s">
        <v>32</v>
      </c>
      <c r="C5" s="1">
        <v>55</v>
      </c>
      <c r="D5" t="str" cm="1">
        <f t="array" ref="D5">_xlfn.IFS(C5&gt;90,"A",C5&gt;70,"B",C5&gt;50,"C",C5&gt;30,"D",C5&lt;=30,"FAIL")</f>
        <v>C</v>
      </c>
    </row>
    <row r="6" spans="1:11" x14ac:dyDescent="0.3">
      <c r="A6" s="1">
        <v>5</v>
      </c>
      <c r="B6" s="1" t="s">
        <v>33</v>
      </c>
      <c r="C6" s="1">
        <v>30</v>
      </c>
      <c r="D6" t="str" cm="1">
        <f t="array" ref="D6">_xlfn.IFS(C6&gt;90,"A",C6&gt;70,"B",C6&gt;50,"C",C6&gt;30,"D",C6&lt;=30,"FAIL")</f>
        <v>FAIL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4D56-2380-46B8-B0C9-E7E61E935BAB}">
  <dimension ref="A1:P11"/>
  <sheetViews>
    <sheetView topLeftCell="E1" workbookViewId="0">
      <selection activeCell="K22" sqref="K22"/>
    </sheetView>
  </sheetViews>
  <sheetFormatPr defaultRowHeight="14.4" x14ac:dyDescent="0.3"/>
  <cols>
    <col min="11" max="11" width="44.21875" customWidth="1"/>
  </cols>
  <sheetData>
    <row r="1" spans="1:16" x14ac:dyDescent="0.3">
      <c r="A1" t="s">
        <v>47</v>
      </c>
      <c r="B1" t="s">
        <v>1</v>
      </c>
      <c r="C1" t="s">
        <v>2</v>
      </c>
      <c r="D1" t="s">
        <v>3</v>
      </c>
      <c r="E1" t="s">
        <v>4</v>
      </c>
      <c r="F1" t="s">
        <v>48</v>
      </c>
      <c r="G1" t="s">
        <v>55</v>
      </c>
    </row>
    <row r="2" spans="1:16" x14ac:dyDescent="0.3">
      <c r="A2">
        <v>101</v>
      </c>
      <c r="B2" t="s">
        <v>5</v>
      </c>
      <c r="C2" t="s">
        <v>8</v>
      </c>
      <c r="D2">
        <v>50000</v>
      </c>
      <c r="E2">
        <v>2</v>
      </c>
      <c r="F2" t="s">
        <v>29</v>
      </c>
      <c r="G2">
        <f>RANK(D2,$D$2:$D$7)</f>
        <v>2</v>
      </c>
      <c r="J2" t="s">
        <v>59</v>
      </c>
      <c r="N2" t="s">
        <v>58</v>
      </c>
    </row>
    <row r="3" spans="1:16" x14ac:dyDescent="0.3">
      <c r="A3">
        <v>102</v>
      </c>
      <c r="B3" t="s">
        <v>6</v>
      </c>
      <c r="C3" t="s">
        <v>9</v>
      </c>
      <c r="D3">
        <v>20000</v>
      </c>
      <c r="E3">
        <v>5</v>
      </c>
      <c r="F3" t="s">
        <v>30</v>
      </c>
      <c r="G3">
        <f t="shared" ref="G3:G7" si="0">RANK(D3,$D$2:$D$7)</f>
        <v>5</v>
      </c>
      <c r="J3" t="s">
        <v>12</v>
      </c>
      <c r="K3" t="s">
        <v>49</v>
      </c>
      <c r="N3">
        <f>SUMIFS(D2:D7,B2:B7,"LAPTOP",C2:C7,"NORTH")</f>
        <v>105000</v>
      </c>
    </row>
    <row r="4" spans="1:16" x14ac:dyDescent="0.3">
      <c r="A4">
        <v>103</v>
      </c>
      <c r="B4" t="s">
        <v>5</v>
      </c>
      <c r="C4" t="s">
        <v>10</v>
      </c>
      <c r="D4">
        <v>45000</v>
      </c>
      <c r="E4">
        <v>3</v>
      </c>
      <c r="F4" t="s">
        <v>29</v>
      </c>
      <c r="G4">
        <f t="shared" si="0"/>
        <v>3</v>
      </c>
      <c r="J4" t="s">
        <v>14</v>
      </c>
      <c r="K4" t="s">
        <v>50</v>
      </c>
      <c r="N4">
        <f>COUNTIFS(D2:D7,"&gt;30000",F2:F7,"A")</f>
        <v>3</v>
      </c>
    </row>
    <row r="5" spans="1:16" x14ac:dyDescent="0.3">
      <c r="A5">
        <v>104</v>
      </c>
      <c r="B5" t="s">
        <v>7</v>
      </c>
      <c r="C5" t="s">
        <v>11</v>
      </c>
      <c r="D5">
        <v>15000</v>
      </c>
      <c r="E5">
        <v>4</v>
      </c>
      <c r="F5" t="s">
        <v>31</v>
      </c>
      <c r="G5">
        <f t="shared" si="0"/>
        <v>6</v>
      </c>
      <c r="J5" t="s">
        <v>16</v>
      </c>
      <c r="K5" t="s">
        <v>51</v>
      </c>
      <c r="N5" t="str" cm="1">
        <f t="array" ref="N5:N7">_xlfn.UNIQUE(B2:B7)</f>
        <v>LAPTOP</v>
      </c>
    </row>
    <row r="6" spans="1:16" x14ac:dyDescent="0.3">
      <c r="A6">
        <v>105</v>
      </c>
      <c r="B6" t="s">
        <v>6</v>
      </c>
      <c r="C6" t="s">
        <v>8</v>
      </c>
      <c r="D6">
        <v>25000</v>
      </c>
      <c r="E6">
        <v>2</v>
      </c>
      <c r="F6" t="s">
        <v>30</v>
      </c>
      <c r="G6">
        <f t="shared" si="0"/>
        <v>4</v>
      </c>
      <c r="N6" t="str">
        <v>MOBILE</v>
      </c>
    </row>
    <row r="7" spans="1:16" x14ac:dyDescent="0.3">
      <c r="A7">
        <v>106</v>
      </c>
      <c r="B7" t="s">
        <v>5</v>
      </c>
      <c r="C7" t="s">
        <v>8</v>
      </c>
      <c r="D7">
        <v>55000</v>
      </c>
      <c r="E7">
        <v>1</v>
      </c>
      <c r="F7" t="s">
        <v>29</v>
      </c>
      <c r="G7">
        <f t="shared" si="0"/>
        <v>1</v>
      </c>
      <c r="N7" t="str">
        <v>TABLET</v>
      </c>
    </row>
    <row r="8" spans="1:16" x14ac:dyDescent="0.3">
      <c r="J8" t="s">
        <v>18</v>
      </c>
      <c r="K8" t="s">
        <v>52</v>
      </c>
    </row>
    <row r="9" spans="1:16" x14ac:dyDescent="0.3">
      <c r="J9" t="s">
        <v>20</v>
      </c>
      <c r="K9" t="s">
        <v>53</v>
      </c>
      <c r="N9" cm="1">
        <f t="array" ref="N9:P9">LARGE(D2:D7,{1,2,3})</f>
        <v>55000</v>
      </c>
      <c r="O9">
        <v>50000</v>
      </c>
      <c r="P9">
        <v>45000</v>
      </c>
    </row>
    <row r="10" spans="1:16" x14ac:dyDescent="0.3">
      <c r="J10" t="s">
        <v>22</v>
      </c>
      <c r="K10" t="s">
        <v>54</v>
      </c>
    </row>
    <row r="11" spans="1:16" x14ac:dyDescent="0.3">
      <c r="J11" t="s">
        <v>56</v>
      </c>
      <c r="K11" t="s">
        <v>57</v>
      </c>
      <c r="L11">
        <v>101</v>
      </c>
      <c r="M11" t="s">
        <v>3</v>
      </c>
      <c r="N11">
        <f>VLOOKUP(L11,A1:G7,MATCH(M11,A1:G1,0),0)</f>
        <v>50000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B511-64D9-42A8-BEA9-34F919BB7C0C}">
  <dimension ref="A1:N7"/>
  <sheetViews>
    <sheetView workbookViewId="0">
      <selection activeCell="E14" sqref="E14"/>
    </sheetView>
  </sheetViews>
  <sheetFormatPr defaultRowHeight="14.4" x14ac:dyDescent="0.3"/>
  <cols>
    <col min="5" max="5" width="12.33203125" customWidth="1"/>
    <col min="11" max="11" width="38.33203125" customWidth="1"/>
  </cols>
  <sheetData>
    <row r="1" spans="1:14" x14ac:dyDescent="0.3">
      <c r="A1" s="6" t="s">
        <v>60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61</v>
      </c>
      <c r="G1" s="6" t="s">
        <v>69</v>
      </c>
    </row>
    <row r="2" spans="1:14" x14ac:dyDescent="0.3">
      <c r="A2" s="3">
        <v>201</v>
      </c>
      <c r="B2" s="3" t="s">
        <v>29</v>
      </c>
      <c r="C2" s="3" t="s">
        <v>62</v>
      </c>
      <c r="D2" s="3">
        <v>25000</v>
      </c>
      <c r="E2" s="3">
        <v>2</v>
      </c>
      <c r="F2" s="3">
        <v>3</v>
      </c>
      <c r="G2" s="3" t="str" cm="1">
        <f t="array" ref="G2">_xlfn.IFS(D2&gt;40000,"HIGH",D2&gt;=30000,"MEDIUM",D2&lt;30000,"LOW")</f>
        <v>LOW</v>
      </c>
      <c r="J2" s="7" t="s">
        <v>12</v>
      </c>
      <c r="K2" s="7" t="s">
        <v>63</v>
      </c>
      <c r="L2" s="7"/>
      <c r="M2" s="7"/>
      <c r="N2" s="7">
        <f>SUMIFS(D2:D6,C2:C6,"IT",F2:F6,"&gt;=4")</f>
        <v>120000</v>
      </c>
    </row>
    <row r="3" spans="1:14" x14ac:dyDescent="0.3">
      <c r="A3" s="3">
        <v>202</v>
      </c>
      <c r="B3" s="3" t="s">
        <v>30</v>
      </c>
      <c r="C3" s="3" t="s">
        <v>35</v>
      </c>
      <c r="D3" s="3">
        <v>40000</v>
      </c>
      <c r="E3" s="3">
        <v>5</v>
      </c>
      <c r="F3" s="3">
        <v>4</v>
      </c>
      <c r="G3" s="3" t="str" cm="1">
        <f t="array" ref="G3">_xlfn.IFS(D3&gt;40000,"HIGH",D3&gt;=30000,"MEDIUM",D3&lt;30000,"LOW")</f>
        <v>MEDIUM</v>
      </c>
      <c r="J3" s="7" t="s">
        <v>14</v>
      </c>
      <c r="K3" s="7" t="s">
        <v>64</v>
      </c>
      <c r="L3" s="7"/>
      <c r="M3" s="7"/>
      <c r="N3" s="7">
        <f>AVERAGEIF(E2:E6,"&gt;3",D2:D6)</f>
        <v>40000</v>
      </c>
    </row>
    <row r="4" spans="1:14" x14ac:dyDescent="0.3">
      <c r="A4" s="3">
        <v>203</v>
      </c>
      <c r="B4" s="3" t="s">
        <v>31</v>
      </c>
      <c r="C4" s="3" t="s">
        <v>35</v>
      </c>
      <c r="D4" s="3">
        <v>35000</v>
      </c>
      <c r="E4" s="3">
        <v>4</v>
      </c>
      <c r="F4" s="3">
        <v>5</v>
      </c>
      <c r="G4" s="3" t="str" cm="1">
        <f t="array" ref="G4">_xlfn.IFS(D4&gt;40000,"HIGH",D4&gt;=30000,"MEDIUM",D4&lt;30000,"LOW")</f>
        <v>MEDIUM</v>
      </c>
      <c r="J4" s="7" t="s">
        <v>16</v>
      </c>
      <c r="K4" s="7" t="s">
        <v>65</v>
      </c>
      <c r="L4" s="7"/>
      <c r="M4" s="7">
        <v>203</v>
      </c>
      <c r="N4" s="7" t="str">
        <f>_xlfn.XLOOKUP(M4,A2:A6,B2:B6)</f>
        <v>C</v>
      </c>
    </row>
    <row r="5" spans="1:14" x14ac:dyDescent="0.3">
      <c r="A5" s="3">
        <v>204</v>
      </c>
      <c r="B5" s="3" t="s">
        <v>32</v>
      </c>
      <c r="C5" s="3" t="s">
        <v>36</v>
      </c>
      <c r="D5" s="3">
        <v>30000</v>
      </c>
      <c r="E5" s="3">
        <v>3</v>
      </c>
      <c r="F5" s="3">
        <v>2</v>
      </c>
      <c r="G5" s="3" t="str" cm="1">
        <f t="array" ref="G5">_xlfn.IFS(D5&gt;40000,"HIGH",D5&gt;=30000,"MEDIUM",D5&lt;30000,"LOW")</f>
        <v>MEDIUM</v>
      </c>
      <c r="J5" s="7" t="s">
        <v>18</v>
      </c>
      <c r="K5" s="7" t="s">
        <v>66</v>
      </c>
      <c r="L5" s="7"/>
      <c r="M5" s="7"/>
      <c r="N5" s="7"/>
    </row>
    <row r="6" spans="1:14" x14ac:dyDescent="0.3">
      <c r="A6" s="3">
        <v>205</v>
      </c>
      <c r="B6" s="3" t="s">
        <v>33</v>
      </c>
      <c r="C6" s="3" t="s">
        <v>35</v>
      </c>
      <c r="D6" s="3">
        <v>45000</v>
      </c>
      <c r="E6" s="3">
        <v>6</v>
      </c>
      <c r="F6" s="3">
        <v>5</v>
      </c>
      <c r="G6" s="3" t="str" cm="1">
        <f t="array" ref="G6">_xlfn.IFS(D6&gt;40000,"HIGH",D6&gt;=30000,"MEDIUM",D6&lt;30000,"LOW")</f>
        <v>HIGH</v>
      </c>
      <c r="J6" s="7"/>
      <c r="K6" s="7" t="s">
        <v>67</v>
      </c>
      <c r="L6" s="7"/>
      <c r="M6" s="7"/>
      <c r="N6" s="7"/>
    </row>
    <row r="7" spans="1:14" x14ac:dyDescent="0.3">
      <c r="J7" s="7"/>
      <c r="K7" s="7" t="s">
        <v>68</v>
      </c>
      <c r="L7" s="7"/>
      <c r="M7" s="7"/>
      <c r="N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D917-7282-4246-8201-2CDE889454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TABLE</vt:lpstr>
      <vt:lpstr>EMP TABLE</vt:lpstr>
      <vt:lpstr>Sheet3</vt:lpstr>
      <vt:lpstr>Sheet2</vt:lpstr>
      <vt:lpstr>Sheet5</vt:lpstr>
      <vt:lpstr>index</vt:lpstr>
      <vt:lpstr>FILTER&amp;LARGE FORMULA</vt:lpstr>
      <vt:lpstr>FILTER WITH MULT COND</vt:lpstr>
      <vt:lpstr>STUDENT TABEL</vt:lpstr>
      <vt:lpstr>PRODUCT TABLE</vt:lpstr>
      <vt:lpstr>MIX QUE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rajput</dc:creator>
  <cp:lastModifiedBy>uma rajput</cp:lastModifiedBy>
  <dcterms:created xsi:type="dcterms:W3CDTF">2026-08-08T06:41:18Z</dcterms:created>
  <dcterms:modified xsi:type="dcterms:W3CDTF">2026-08-12T07:52:06Z</dcterms:modified>
</cp:coreProperties>
</file>