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56F87736217BE48/Documents/"/>
    </mc:Choice>
  </mc:AlternateContent>
  <xr:revisionPtr revIDLastSave="0" documentId="8_{8E6C08A8-E9A3-43E6-AABC-1C5A14BA9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S9" i="1" a="1"/>
  <c r="S9" i="1" s="1"/>
  <c r="AH8" i="1" a="1"/>
  <c r="AH8" i="1" s="1"/>
  <c r="S7" i="1" a="1"/>
  <c r="S7" i="1" s="1"/>
  <c r="S6" i="1"/>
  <c r="S5" i="1"/>
  <c r="S4" i="1"/>
  <c r="S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<sst xmlns="http://schemas.openxmlformats.org/spreadsheetml/2006/main" count="10523" uniqueCount="4295">
  <si>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</si>
  <si>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</si>
  <si>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</si>
  <si>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</si>
  <si>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</si>
  <si>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</si>
  <si>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</si>
  <si>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</si>
  <si>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</si>
  <si>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</si>
  <si>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</si>
  <si>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</si>
  <si>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</si>
  <si>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</si>
  <si>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</si>
  <si>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</si>
  <si>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</si>
  <si>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</si>
  <si>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</si>
  <si>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</si>
  <si>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</si>
  <si>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</si>
  <si>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</si>
  <si>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</si>
  <si>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</si>
  <si>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</si>
  <si>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</si>
  <si>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</si>
  <si>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</si>
  <si>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</si>
  <si>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</si>
  <si>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</si>
  <si>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</si>
  <si>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</si>
  <si>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</si>
  <si>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</si>
  <si>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</si>
  <si>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</si>
  <si>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</si>
  <si>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</si>
  <si>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</si>
  <si>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</si>
  <si>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</si>
  <si>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</si>
  <si>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</si>
  <si>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</si>
  <si>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</si>
  <si>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</si>
  <si>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</si>
  <si>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</si>
  <si>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</si>
  <si>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</si>
  <si>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</si>
  <si>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</si>
  <si>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</si>
  <si>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</si>
  <si>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</si>
  <si>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</si>
  <si>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</si>
  <si>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</si>
  <si>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</si>
  <si>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</si>
  <si>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</si>
  <si>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</si>
  <si>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</si>
  <si>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</si>
  <si>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</si>
  <si>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</si>
  <si>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</si>
  <si>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</si>
  <si>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</si>
  <si>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</si>
  <si>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</si>
  <si>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</si>
  <si>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</si>
  <si>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</si>
  <si>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</si>
  <si>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</si>
  <si>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</si>
  <si>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</si>
  <si>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</si>
  <si>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</si>
  <si>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</si>
  <si>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</si>
  <si>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</si>
  <si>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</si>
  <si>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</si>
  <si>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</si>
  <si>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</si>
  <si>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</si>
  <si>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</si>
  <si>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</si>
  <si>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</si>
  <si>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</si>
  <si>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</si>
  <si>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</si>
  <si>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</si>
  <si>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</si>
  <si>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</si>
  <si>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</si>
  <si>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</si>
  <si>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</si>
  <si>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</si>
  <si>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</si>
  <si>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</si>
  <si>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</si>
  <si>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</si>
  <si>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</si>
  <si>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</si>
  <si>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</si>
  <si>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</si>
  <si>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</si>
  <si>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</si>
  <si>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</si>
  <si>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</si>
  <si>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</si>
  <si>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</si>
  <si>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</si>
  <si>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</si>
  <si>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</si>
  <si>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</si>
  <si>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</si>
  <si>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</si>
  <si>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</si>
  <si>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</si>
  <si>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</si>
  <si>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</si>
  <si>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</si>
  <si>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</si>
  <si>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</si>
  <si>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</si>
  <si>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</si>
  <si>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</si>
  <si>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</si>
  <si>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</si>
  <si>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</si>
  <si>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</si>
  <si>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</si>
  <si>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</si>
  <si>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</si>
  <si>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</si>
  <si>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</si>
  <si>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</si>
  <si>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</si>
  <si>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</si>
  <si>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</si>
  <si>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</si>
  <si>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</si>
  <si>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</si>
  <si>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</si>
  <si>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</si>
  <si>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</si>
  <si>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</si>
  <si>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</si>
  <si>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</si>
  <si>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</si>
  <si>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</si>
  <si>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</si>
  <si>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</si>
  <si>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</si>
  <si>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</si>
  <si>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</si>
  <si>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</si>
  <si>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</si>
  <si>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</si>
  <si>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</si>
  <si>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</si>
  <si>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</si>
  <si>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</si>
  <si>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</si>
  <si>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</si>
  <si>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</si>
  <si>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</si>
  <si>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</si>
  <si>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</si>
  <si>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</si>
  <si>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</si>
  <si>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</si>
  <si>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</si>
  <si>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</si>
  <si>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</si>
  <si>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</si>
  <si>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</si>
  <si>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</si>
  <si>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</si>
  <si>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</si>
  <si>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</si>
  <si>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</si>
  <si>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</si>
  <si>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</si>
  <si>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</si>
  <si>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</si>
  <si>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</si>
  <si>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</si>
  <si>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</si>
  <si>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</si>
  <si>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</si>
  <si>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</si>
  <si>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</si>
  <si>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</si>
  <si>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</si>
  <si>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</si>
  <si>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</si>
  <si>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</si>
  <si>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</si>
  <si>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</si>
  <si>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</si>
  <si>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</si>
  <si>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</si>
  <si>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</si>
  <si>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</si>
  <si>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</si>
  <si>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</si>
  <si>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</si>
  <si>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</si>
  <si>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</si>
  <si>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</si>
  <si>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</si>
  <si>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</si>
  <si>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</si>
  <si>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</si>
  <si>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</si>
  <si>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</si>
  <si>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</si>
  <si>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</si>
  <si>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</si>
  <si>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</si>
  <si>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</si>
  <si>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</si>
  <si>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</si>
  <si>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</si>
  <si>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</si>
  <si>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</si>
  <si>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</si>
  <si>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</si>
  <si>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</si>
  <si>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</si>
  <si>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</si>
  <si>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</si>
  <si>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</si>
  <si>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</si>
  <si>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</si>
  <si>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</si>
  <si>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</si>
  <si>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</si>
  <si>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</si>
  <si>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</si>
  <si>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</si>
  <si>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</si>
  <si>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</si>
  <si>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</si>
  <si>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</si>
  <si>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</si>
  <si>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</si>
  <si>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</si>
  <si>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</si>
  <si>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</si>
  <si>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</si>
  <si>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</si>
  <si>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</si>
  <si>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</si>
  <si>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</si>
  <si>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</si>
  <si>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</si>
  <si>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</si>
  <si>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</si>
  <si>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</si>
  <si>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</si>
  <si>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</si>
  <si>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</si>
  <si>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</si>
  <si>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</si>
  <si>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</si>
  <si>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</si>
  <si>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</si>
  <si>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</si>
  <si>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</si>
  <si>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</si>
  <si>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</si>
  <si>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</si>
  <si>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</si>
  <si>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</si>
  <si>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</si>
  <si>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</si>
  <si>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</si>
  <si>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</si>
  <si>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</si>
  <si>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</si>
  <si>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</si>
  <si>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</si>
  <si>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</si>
  <si>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</si>
  <si>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</si>
  <si>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</si>
  <si>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</si>
  <si>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</si>
  <si>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</si>
  <si>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</si>
  <si>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</si>
  <si>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</si>
  <si>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</si>
  <si>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</si>
  <si>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</si>
  <si>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</si>
  <si>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</si>
  <si>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</si>
  <si>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</si>
  <si>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</si>
  <si>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</si>
  <si>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</si>
  <si>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</si>
  <si>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</si>
  <si>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</si>
  <si>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</si>
  <si>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</si>
  <si>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</si>
  <si>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</si>
  <si>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</si>
  <si>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</si>
  <si>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</si>
  <si>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</si>
  <si>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</si>
  <si>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</si>
  <si>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</si>
  <si>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</si>
  <si>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</si>
  <si>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</si>
  <si>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</si>
  <si>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</si>
  <si>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</si>
  <si>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</si>
  <si>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</si>
  <si>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</si>
  <si>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</si>
  <si>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</si>
  <si>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</si>
  <si>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</si>
  <si>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</si>
  <si>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</si>
  <si>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</si>
  <si>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</si>
  <si>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</si>
  <si>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</si>
  <si>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</si>
  <si>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</si>
  <si>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</si>
  <si>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</si>
  <si>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</si>
  <si>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</si>
  <si>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</si>
  <si>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</si>
  <si>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</si>
  <si>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</si>
  <si>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</si>
  <si>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</si>
  <si>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</si>
  <si>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</si>
  <si>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</si>
  <si>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</si>
  <si>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</si>
  <si>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</si>
  <si>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</si>
  <si>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</si>
  <si>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</si>
  <si>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</si>
  <si>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</si>
  <si>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</si>
  <si>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</si>
  <si>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</si>
  <si>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</si>
  <si>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</si>
  <si>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</si>
  <si>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</si>
  <si>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</si>
  <si>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</si>
  <si>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</si>
  <si>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</si>
  <si>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</si>
  <si>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</si>
  <si>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</si>
  <si>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</si>
  <si>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</si>
  <si>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</si>
  <si>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</si>
  <si>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</si>
  <si>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</si>
  <si>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</si>
  <si>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</si>
  <si>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</si>
  <si>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</si>
  <si>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</si>
  <si>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</si>
  <si>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</si>
  <si>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</si>
  <si>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</si>
  <si>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</si>
  <si>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</si>
  <si>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</si>
  <si>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</si>
  <si>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</si>
  <si>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</si>
  <si>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</si>
  <si>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</si>
  <si>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</si>
  <si>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</si>
  <si>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</si>
  <si>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</si>
  <si>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</si>
  <si>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</si>
  <si>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</si>
  <si>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</si>
  <si>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</si>
  <si>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</si>
  <si>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</si>
  <si>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</si>
  <si>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</si>
  <si>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</si>
  <si>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</si>
  <si>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</si>
  <si>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</si>
  <si>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</si>
  <si>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</si>
  <si>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</si>
  <si>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</si>
  <si>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</si>
  <si>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</si>
  <si>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</si>
  <si>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</si>
  <si>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</si>
  <si>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</si>
  <si>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</si>
  <si>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</si>
  <si>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</si>
  <si>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</si>
  <si>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</si>
  <si>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</si>
  <si>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</si>
  <si>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</si>
  <si>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</si>
  <si>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</si>
  <si>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</si>
  <si>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</si>
  <si>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</si>
  <si>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</si>
  <si>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</si>
  <si>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</si>
  <si>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</si>
  <si>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</si>
  <si>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</si>
  <si>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</si>
  <si>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</si>
  <si>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</si>
  <si>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</si>
  <si>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</si>
  <si>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</si>
  <si>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</si>
  <si>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</si>
  <si>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</si>
  <si>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</si>
  <si>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</si>
  <si>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</si>
  <si>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</si>
  <si>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</si>
  <si>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</si>
  <si>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</si>
  <si>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</si>
  <si>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</si>
  <si>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</si>
  <si>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</si>
  <si>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</si>
  <si>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</si>
  <si>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</si>
  <si>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</si>
  <si>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</si>
  <si>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</si>
  <si>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</si>
  <si>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</si>
  <si>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</si>
  <si>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</si>
  <si>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</si>
  <si>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</si>
  <si>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</si>
  <si>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</si>
  <si>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</si>
  <si>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</si>
  <si>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</si>
  <si>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</si>
  <si>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</si>
  <si>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</si>
  <si>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</si>
  <si>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</si>
  <si>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</si>
  <si>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</si>
  <si>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</si>
  <si>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</si>
  <si>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</si>
  <si>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</si>
  <si>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</si>
  <si>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</si>
  <si>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</si>
  <si>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</si>
  <si>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</si>
  <si>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</si>
  <si>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</si>
  <si>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</si>
  <si>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</si>
  <si>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</si>
  <si>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</si>
  <si>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</si>
  <si>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</si>
  <si>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</si>
  <si>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</si>
  <si>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</si>
  <si>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</si>
  <si>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</si>
  <si>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</si>
  <si>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</si>
  <si>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</si>
  <si>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</si>
  <si>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</si>
  <si>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</si>
  <si>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</si>
  <si>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</si>
  <si>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</si>
  <si>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</si>
  <si>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</si>
  <si>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</si>
  <si>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</si>
  <si>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</si>
  <si>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</si>
  <si>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</si>
  <si>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</si>
  <si>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</si>
  <si>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</si>
  <si>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</si>
  <si>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</si>
  <si>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</si>
  <si>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</si>
  <si>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</si>
  <si>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</si>
  <si>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</si>
  <si>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</si>
  <si>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</si>
  <si>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</si>
  <si>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</si>
  <si>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</si>
  <si>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</si>
  <si>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</si>
  <si>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</si>
  <si>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</si>
  <si>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</si>
  <si>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</si>
  <si>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</si>
  <si>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</si>
  <si>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</si>
  <si>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</si>
  <si>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</si>
  <si>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</si>
  <si>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</si>
  <si>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</si>
  <si>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</si>
  <si>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</si>
  <si>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</si>
  <si>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</si>
  <si>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</si>
  <si>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</si>
  <si>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</si>
  <si>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</si>
  <si>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</si>
  <si>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</si>
  <si>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</si>
  <si>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</si>
  <si>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</si>
  <si>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</si>
  <si>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</si>
  <si>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</si>
  <si>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</si>
  <si>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</si>
  <si>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</si>
  <si>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</si>
  <si>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</si>
  <si>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</si>
  <si>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</si>
  <si>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</si>
  <si>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</si>
  <si>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</si>
  <si>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</si>
  <si>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</si>
  <si>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</si>
  <si>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</si>
  <si>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</si>
  <si>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</si>
  <si>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</si>
  <si>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</si>
  <si>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</si>
  <si>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</si>
  <si>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</si>
  <si>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</si>
  <si>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</si>
  <si>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</si>
  <si>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</si>
  <si>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</si>
  <si>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</si>
  <si>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</si>
  <si>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</si>
  <si>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</si>
  <si>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</si>
  <si>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</si>
  <si>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</si>
  <si>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</si>
  <si>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</si>
  <si>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</si>
  <si>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</si>
  <si>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</si>
  <si>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</si>
  <si>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</si>
  <si>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</si>
  <si>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</si>
  <si>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</si>
  <si>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</si>
  <si>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</si>
  <si>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</si>
  <si>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</si>
  <si>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</si>
  <si>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</si>
  <si>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</si>
  <si>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</si>
  <si>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</si>
  <si>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</si>
  <si>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</si>
  <si>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</si>
  <si>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</si>
  <si>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</si>
  <si>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</si>
  <si>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</si>
  <si>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</si>
  <si>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</si>
  <si>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</si>
  <si>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</si>
  <si>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</si>
  <si>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</si>
  <si>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</si>
  <si>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</si>
  <si>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</si>
  <si>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</si>
  <si>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</si>
  <si>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</si>
  <si>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</si>
  <si>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</si>
  <si>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</si>
  <si>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</si>
  <si>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</si>
  <si>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</si>
  <si>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</si>
  <si>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</si>
  <si>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</si>
  <si>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</si>
  <si>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</si>
  <si>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</si>
  <si>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</si>
  <si>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</si>
  <si>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</si>
  <si>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</si>
  <si>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</si>
  <si>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</si>
  <si>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</si>
  <si>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</si>
  <si>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</si>
  <si>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</si>
  <si>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</si>
  <si>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</si>
  <si>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</si>
  <si>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</si>
  <si>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</si>
  <si>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</si>
  <si>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</si>
  <si>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</si>
  <si>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</si>
  <si>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</si>
  <si>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</si>
  <si>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</si>
  <si>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</si>
  <si>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</si>
  <si>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</si>
  <si>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</si>
  <si>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</si>
  <si>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</si>
  <si>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</si>
  <si>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</si>
  <si>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</si>
  <si>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</si>
  <si>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</si>
  <si>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</si>
  <si>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</si>
  <si>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</si>
  <si>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</si>
  <si>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</si>
  <si>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</si>
  <si>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</si>
  <si>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</si>
  <si>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</si>
  <si>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</si>
  <si>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</si>
  <si>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</si>
  <si>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</si>
  <si>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</si>
  <si>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</si>
  <si>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</si>
  <si>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</si>
  <si>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</si>
  <si>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</si>
  <si>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</si>
  <si>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</si>
  <si>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</si>
  <si>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</si>
  <si>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</si>
  <si>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</si>
  <si>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</si>
  <si>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</si>
  <si>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</si>
  <si>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</si>
  <si>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</si>
  <si>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</si>
  <si>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</si>
  <si>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</si>
  <si>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</si>
  <si>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</si>
  <si>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</si>
  <si>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</si>
  <si>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</si>
  <si>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</si>
  <si>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</si>
  <si>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</si>
  <si>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</si>
  <si>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</si>
  <si>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</si>
  <si>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</si>
  <si>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</si>
  <si>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</si>
  <si>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</si>
  <si>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</si>
  <si>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</si>
  <si>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</si>
  <si>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</si>
  <si>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</si>
  <si>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</si>
  <si>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</si>
  <si>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</si>
  <si>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</si>
  <si>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</si>
  <si>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</si>
  <si>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</si>
  <si>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</si>
  <si>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</si>
  <si>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</si>
  <si>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</si>
  <si>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</si>
  <si>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</si>
  <si>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</si>
  <si>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</si>
  <si>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</si>
  <si>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</si>
  <si>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</si>
  <si>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</si>
  <si>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</si>
  <si>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</si>
  <si>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</si>
  <si>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</si>
  <si>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</si>
  <si>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</si>
  <si>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</si>
  <si>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</si>
  <si>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</si>
  <si>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</si>
  <si>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</si>
  <si>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</si>
  <si>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</si>
  <si>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</si>
  <si>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</si>
  <si>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</si>
  <si>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</si>
  <si>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</si>
  <si>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</si>
  <si>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</si>
  <si>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</si>
  <si>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</si>
  <si>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</si>
  <si>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</si>
  <si>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</si>
  <si>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</si>
  <si>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</si>
  <si>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</si>
  <si>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</si>
  <si>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</si>
  <si>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</si>
  <si>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</si>
  <si>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</si>
  <si>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</si>
  <si>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</si>
  <si>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</si>
  <si>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</si>
  <si>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</si>
  <si>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</si>
  <si>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</si>
  <si>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</si>
  <si>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</si>
  <si>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</si>
  <si>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</si>
  <si>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</si>
  <si>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</si>
  <si>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</si>
  <si>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</si>
  <si>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</si>
  <si>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</si>
  <si>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</si>
  <si>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</si>
  <si>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</si>
  <si>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</si>
  <si>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</si>
  <si>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</si>
  <si>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</si>
  <si>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</si>
  <si>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</si>
  <si>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</si>
  <si>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</si>
  <si>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</si>
  <si>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</si>
  <si>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</si>
  <si>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</si>
  <si>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</si>
  <si>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</si>
  <si>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</si>
  <si>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</si>
  <si>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</si>
  <si>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</si>
  <si>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</si>
  <si>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</si>
  <si>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</si>
  <si>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</si>
  <si>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</si>
  <si>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</si>
  <si>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</si>
  <si>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</si>
  <si>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</si>
  <si>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</si>
  <si>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</si>
  <si>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</si>
  <si>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</si>
  <si>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</si>
  <si>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</si>
  <si>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</si>
  <si>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</si>
  <si>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</si>
  <si>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</si>
  <si>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</si>
  <si>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</si>
  <si>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</si>
  <si>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</si>
  <si>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</si>
  <si>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</si>
  <si>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</si>
  <si>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</si>
  <si>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</si>
  <si>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</si>
  <si>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</si>
  <si>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</si>
  <si>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</si>
  <si>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</si>
  <si>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</si>
  <si>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</si>
  <si>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</si>
  <si>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</si>
  <si>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</si>
  <si>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</si>
  <si>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</si>
  <si>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</si>
  <si>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</si>
  <si>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</si>
  <si>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</si>
  <si>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</si>
  <si>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</si>
  <si>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</si>
  <si>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</si>
  <si>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</si>
  <si>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</si>
  <si>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</si>
  <si>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</si>
  <si>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</si>
  <si>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</si>
  <si>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</si>
  <si>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</si>
  <si>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</si>
  <si>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</si>
  <si>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</si>
  <si>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</si>
  <si>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</si>
  <si>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</si>
  <si>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</si>
  <si>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</si>
  <si>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</si>
  <si>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</si>
  <si>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</si>
  <si>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</si>
  <si>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</si>
  <si>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</si>
  <si>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</si>
  <si>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</si>
  <si>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</si>
  <si>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</si>
  <si>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</si>
  <si>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</si>
  <si>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</si>
  <si>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</si>
  <si>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</si>
  <si>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</si>
  <si>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</si>
  <si>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</si>
  <si>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</si>
  <si>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</si>
  <si>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</si>
  <si>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</si>
  <si>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</si>
  <si>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</si>
  <si>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</si>
  <si>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</si>
  <si>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</si>
  <si>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</si>
  <si>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</si>
  <si>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</si>
  <si>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</si>
  <si>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</si>
  <si>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</si>
  <si>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</si>
  <si>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</si>
  <si>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</si>
  <si>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</si>
  <si>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</si>
  <si>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</si>
  <si>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</si>
  <si>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</si>
  <si>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</si>
  <si>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</si>
  <si>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</si>
  <si>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</si>
  <si>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</si>
  <si>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</si>
  <si>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</si>
  <si>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</si>
  <si>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</si>
  <si>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</si>
  <si>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</si>
  <si>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</si>
  <si>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</si>
  <si>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</si>
  <si>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</si>
  <si>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</si>
  <si>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</si>
  <si>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</si>
  <si>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</si>
  <si>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</si>
  <si>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</si>
  <si>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</si>
  <si>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</si>
  <si>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</si>
  <si>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</si>
  <si>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</si>
  <si>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</si>
  <si>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</si>
  <si>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</si>
  <si>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</si>
  <si>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</si>
  <si>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</si>
  <si>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</si>
  <si>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</si>
  <si>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</si>
  <si>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</si>
  <si>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</si>
  <si>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</si>
  <si>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</si>
  <si>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</si>
  <si>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</si>
  <si>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</si>
  <si>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</si>
  <si>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</si>
  <si>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</si>
  <si>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</si>
  <si>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</si>
  <si>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</si>
  <si>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</si>
  <si>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</si>
  <si>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</si>
  <si>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</si>
  <si>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</si>
  <si>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</si>
  <si>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</si>
  <si>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</si>
  <si>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</si>
  <si>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</si>
  <si>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</si>
  <si>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</si>
  <si>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</si>
  <si>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</si>
  <si>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</si>
  <si>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</si>
  <si>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</si>
  <si>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</si>
  <si>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</si>
  <si>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</si>
  <si>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</si>
  <si>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</si>
  <si>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</si>
  <si>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</si>
  <si>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</si>
  <si>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</si>
  <si>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</si>
  <si>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</si>
  <si>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</si>
  <si>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</si>
  <si>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</si>
  <si>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</si>
  <si>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</si>
  <si>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</si>
  <si>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</si>
  <si>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</si>
  <si>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</si>
  <si>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</si>
  <si>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</si>
  <si>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</si>
  <si>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</si>
  <si>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</si>
  <si>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</si>
  <si>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</si>
  <si>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</si>
  <si>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</si>
  <si>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</si>
  <si>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</si>
  <si>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</si>
  <si>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</si>
  <si>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</si>
  <si>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</si>
  <si>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</si>
  <si>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</si>
  <si>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</si>
  <si>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</si>
  <si>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</si>
  <si>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</si>
  <si>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</si>
  <si>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</si>
  <si>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</si>
  <si>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</si>
  <si>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</si>
  <si>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</si>
  <si>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</si>
  <si>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</si>
  <si>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</si>
  <si>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</si>
  <si>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</si>
  <si>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</si>
  <si>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</si>
  <si>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</si>
  <si>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</si>
  <si>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</si>
  <si>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</si>
  <si>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</si>
  <si>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</si>
  <si>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</si>
  <si>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</si>
  <si>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</si>
  <si>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</si>
  <si>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</si>
  <si>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</si>
  <si>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</si>
  <si>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</si>
  <si>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</si>
  <si>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</si>
  <si>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</si>
  <si>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</si>
  <si>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</si>
  <si>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</si>
  <si>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</si>
  <si>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</si>
  <si>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</si>
  <si>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</si>
  <si>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</si>
  <si>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</si>
  <si>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</si>
  <si>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</si>
  <si>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</si>
  <si>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</si>
  <si>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</si>
  <si>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</si>
  <si>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</si>
  <si>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</si>
  <si>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</si>
  <si>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</si>
  <si>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</si>
  <si>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</si>
  <si>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</si>
  <si>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</si>
  <si>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</si>
  <si>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</si>
  <si>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</si>
  <si>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</si>
  <si>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</si>
  <si>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</si>
  <si>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</si>
  <si>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</si>
  <si>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</si>
  <si>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</si>
  <si>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</si>
  <si>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</si>
  <si>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</si>
  <si>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</si>
  <si>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</si>
  <si>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</si>
  <si>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</si>
  <si>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</si>
  <si>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</si>
  <si>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</si>
  <si>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</si>
  <si>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</si>
  <si>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</si>
  <si>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</si>
  <si>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</si>
  <si>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</si>
  <si>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</si>
  <si>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</si>
  <si>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</si>
  <si>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</si>
  <si>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</si>
  <si>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</si>
  <si>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</si>
  <si>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</si>
  <si>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</si>
  <si>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</si>
  <si>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</si>
  <si>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</si>
  <si>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</si>
  <si>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</si>
  <si>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</si>
  <si>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</si>
  <si>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</si>
  <si>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</si>
  <si>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</si>
  <si>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</si>
  <si>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</si>
  <si>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</si>
  <si>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</si>
  <si>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</si>
  <si>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</si>
  <si>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</si>
  <si>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</si>
  <si>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</si>
  <si>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</si>
  <si>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</si>
  <si>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</si>
  <si>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</si>
  <si>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</si>
  <si>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</si>
  <si>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</si>
  <si>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</si>
  <si>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</si>
  <si>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</si>
  <si>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</si>
  <si>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</si>
  <si>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</si>
  <si>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</si>
  <si>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</si>
  <si>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</si>
  <si>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</si>
  <si>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</si>
  <si>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</si>
  <si>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</si>
  <si>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</si>
  <si>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</si>
  <si>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</si>
  <si>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</si>
  <si>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</si>
  <si>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</si>
  <si>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</si>
  <si>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</si>
  <si>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</si>
  <si>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</si>
  <si>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</si>
  <si>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</si>
  <si>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</si>
  <si>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</si>
  <si>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</si>
  <si>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</si>
  <si>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</si>
  <si>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</si>
  <si>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</si>
  <si>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</si>
  <si>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</si>
  <si>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</si>
  <si>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</si>
  <si>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</si>
  <si>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</si>
  <si>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</si>
  <si>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</si>
  <si>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</si>
  <si>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</si>
  <si>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</si>
  <si>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</si>
  <si>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</si>
  <si>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</si>
  <si>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</si>
  <si>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</si>
  <si>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</si>
  <si>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</si>
  <si>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</si>
  <si>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</si>
  <si>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</si>
  <si>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</si>
  <si>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</si>
  <si>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</si>
  <si>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</si>
  <si>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</si>
  <si>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</si>
  <si>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</si>
  <si>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</si>
  <si>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</si>
  <si>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</si>
  <si>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</si>
  <si>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</si>
  <si>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</si>
  <si>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</si>
  <si>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</si>
  <si>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</si>
  <si>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</si>
  <si>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</si>
  <si>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</si>
  <si>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</si>
  <si>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</si>
  <si>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</si>
  <si>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</si>
  <si>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</si>
  <si>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</si>
  <si>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</si>
  <si>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</si>
  <si>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</si>
  <si>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</si>
  <si>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</si>
  <si>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</si>
  <si>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</si>
  <si>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</si>
  <si>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</si>
  <si>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</si>
  <si>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</si>
  <si>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</si>
  <si>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</si>
  <si>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</si>
  <si>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</si>
  <si>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</si>
  <si>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</si>
  <si>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</si>
  <si>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</si>
  <si>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</si>
  <si>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</si>
  <si>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</si>
  <si>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</si>
  <si>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</si>
  <si>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</si>
  <si>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</si>
  <si>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</si>
  <si>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</si>
  <si>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</si>
  <si>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</si>
  <si>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</si>
  <si>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</si>
  <si>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</si>
  <si>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</si>
  <si>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</si>
  <si>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</si>
  <si>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</si>
  <si>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</si>
  <si>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</si>
  <si>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</si>
  <si>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</si>
  <si>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</si>
  <si>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</si>
  <si>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</si>
  <si>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</si>
  <si>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</si>
  <si>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</si>
  <si>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</si>
  <si>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</si>
  <si>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</si>
  <si>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</si>
  <si>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</si>
  <si>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</si>
  <si>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</si>
  <si>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</si>
  <si>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</si>
  <si>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</si>
  <si>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</si>
  <si>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</si>
  <si>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</si>
  <si>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</si>
  <si>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</si>
  <si>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</si>
  <si>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</si>
  <si>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</si>
  <si>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</si>
  <si>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</si>
  <si>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</si>
  <si>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</si>
  <si>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</si>
  <si>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</si>
  <si>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</si>
  <si>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</si>
  <si>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</si>
  <si>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</si>
  <si>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</si>
  <si>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</si>
  <si>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</si>
  <si>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</si>
  <si>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</si>
  <si>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</si>
  <si>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</si>
  <si>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</si>
  <si>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</si>
  <si>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</si>
  <si>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</si>
  <si>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</si>
  <si>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</si>
  <si>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</si>
  <si>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</si>
  <si>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</si>
  <si>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</si>
  <si>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</si>
  <si>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</si>
  <si>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</si>
  <si>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</si>
  <si>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</si>
  <si>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</si>
  <si>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</si>
  <si>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</si>
  <si>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</si>
  <si>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</si>
  <si>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</si>
  <si>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</si>
  <si>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</si>
  <si>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</si>
  <si>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</si>
  <si>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</si>
  <si>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</si>
  <si>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</si>
  <si>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</si>
  <si>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</si>
  <si>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</si>
  <si>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</si>
  <si>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</si>
  <si>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</si>
  <si>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</si>
  <si>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</si>
  <si>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</si>
  <si>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</si>
  <si>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</si>
  <si>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</si>
  <si>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</si>
  <si>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</si>
  <si>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</si>
  <si>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</si>
  <si>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</si>
  <si>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</si>
  <si>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</si>
  <si>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</si>
  <si>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</si>
  <si>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</si>
  <si>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</si>
  <si>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</si>
  <si>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</si>
  <si>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</si>
  <si>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</si>
  <si>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</si>
  <si>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</si>
  <si>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</si>
  <si>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</si>
  <si>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</si>
  <si>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</si>
  <si>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</si>
  <si>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</si>
  <si>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</si>
  <si>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</si>
  <si>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</si>
  <si>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</si>
  <si>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</si>
  <si>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</si>
  <si>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</si>
  <si>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</si>
  <si>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</si>
  <si>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</si>
  <si>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</si>
  <si>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</si>
  <si>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</si>
  <si>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</si>
  <si>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</si>
  <si>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</si>
  <si>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</si>
  <si>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</si>
  <si>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</si>
  <si>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</si>
  <si>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</si>
  <si>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</si>
  <si>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</si>
  <si>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</si>
  <si>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</si>
  <si>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</si>
  <si>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</si>
  <si>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</si>
  <si>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</si>
  <si>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</si>
  <si>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</si>
  <si>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</si>
  <si>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</si>
  <si>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</si>
  <si>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</si>
  <si>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</si>
  <si>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</si>
  <si>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</si>
  <si>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</si>
  <si>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</si>
  <si>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</si>
  <si>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</si>
  <si>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</si>
  <si>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</si>
  <si>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</si>
  <si>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</si>
  <si>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</si>
  <si>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</si>
  <si>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</si>
  <si>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</si>
  <si>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</si>
  <si>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</si>
  <si>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</si>
  <si>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</si>
  <si>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</si>
  <si>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</si>
  <si>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</si>
  <si>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</si>
  <si>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</si>
  <si>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</si>
  <si>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</si>
  <si>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</si>
  <si>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</si>
  <si>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</si>
  <si>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</si>
  <si>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</si>
  <si>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</si>
  <si>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</si>
  <si>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</si>
  <si>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</si>
  <si>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</si>
  <si>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</si>
  <si>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</si>
  <si>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</si>
  <si>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</si>
  <si>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</si>
  <si>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</si>
  <si>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</si>
  <si>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</si>
  <si>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</si>
  <si>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</si>
  <si>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</si>
  <si>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</si>
  <si>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</si>
  <si>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</si>
  <si>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</si>
  <si>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</si>
  <si>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</si>
  <si>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</si>
  <si>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</si>
  <si>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</si>
  <si>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</si>
  <si>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</si>
  <si>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</si>
  <si>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</si>
  <si>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</si>
  <si>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</si>
  <si>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</si>
  <si>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</si>
  <si>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</si>
  <si>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</si>
  <si>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</si>
  <si>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</si>
  <si>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</si>
  <si>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</si>
  <si>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</si>
  <si>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</si>
  <si>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</si>
  <si>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</si>
  <si>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</si>
  <si>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</si>
  <si>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</si>
  <si>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</si>
  <si>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</si>
  <si>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</si>
  <si>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</si>
  <si>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</si>
  <si>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</si>
  <si>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</si>
  <si>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</si>
  <si>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</si>
  <si>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</si>
  <si>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</si>
  <si>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</si>
  <si>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</si>
  <si>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</si>
  <si>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</si>
  <si>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</si>
  <si>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</si>
  <si>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</si>
  <si>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</si>
  <si>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</si>
  <si>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</si>
  <si>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</si>
  <si>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</si>
  <si>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</si>
  <si>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</si>
  <si>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</si>
  <si>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</si>
  <si>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</si>
  <si>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</si>
  <si>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</si>
  <si>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</si>
  <si>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</si>
  <si>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</si>
  <si>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</si>
  <si>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</si>
  <si>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</si>
  <si>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</si>
  <si>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</si>
  <si>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</si>
  <si>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</si>
  <si>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</si>
  <si>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</si>
  <si>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</si>
  <si>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</si>
  <si>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</si>
  <si>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</si>
  <si>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</si>
  <si>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</si>
  <si>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</si>
  <si>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</si>
  <si>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</si>
  <si>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</si>
  <si>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</si>
  <si>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</si>
  <si>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</si>
  <si>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</si>
  <si>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</si>
  <si>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</si>
  <si>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</si>
  <si>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</si>
  <si>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</si>
  <si>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</si>
  <si>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</si>
  <si>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</si>
  <si>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</si>
  <si>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</si>
  <si>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</si>
  <si>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</si>
  <si>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</si>
  <si>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</si>
  <si>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</si>
  <si>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</si>
  <si>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</si>
  <si>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</si>
  <si>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</si>
  <si>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</si>
  <si>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</si>
  <si>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</si>
  <si>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</si>
  <si>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</si>
  <si>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</si>
  <si>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</si>
  <si>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</si>
  <si>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</si>
  <si>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</si>
  <si>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</si>
  <si>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</si>
  <si>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</si>
  <si>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</si>
  <si>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</si>
  <si>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</si>
  <si>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</si>
  <si>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</si>
  <si>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</si>
  <si>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</si>
  <si>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</si>
  <si>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</si>
  <si>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</si>
  <si>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</si>
  <si>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</si>
  <si>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</si>
  <si>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</si>
  <si>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</si>
  <si>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</si>
  <si>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</si>
  <si>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</si>
  <si>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</si>
  <si>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</si>
  <si>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</si>
  <si>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</si>
  <si>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</si>
  <si>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</si>
  <si>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</si>
  <si>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</si>
  <si>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</si>
  <si>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</si>
  <si>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</si>
  <si>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</si>
  <si>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</si>
  <si>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</si>
  <si>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</si>
  <si>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</si>
  <si>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</si>
  <si>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</si>
  <si>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</si>
  <si>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</si>
  <si>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</si>
  <si>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</si>
  <si>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</si>
  <si>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</si>
  <si>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</si>
  <si>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</si>
  <si>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</si>
  <si>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</si>
  <si>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</si>
  <si>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</si>
  <si>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</si>
  <si>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</si>
  <si>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</si>
  <si>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</si>
  <si>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</si>
  <si>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</si>
  <si>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</si>
  <si>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</si>
  <si>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</si>
  <si>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</si>
  <si>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</si>
  <si>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</si>
  <si>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</si>
  <si>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</si>
  <si>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</si>
  <si>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</si>
  <si>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</si>
  <si>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</si>
  <si>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</si>
  <si>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</si>
  <si>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</si>
  <si>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</si>
  <si>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</si>
  <si>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</si>
  <si>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</si>
  <si>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</si>
  <si>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</si>
  <si>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</si>
  <si>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</si>
  <si>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</si>
  <si>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</si>
  <si>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</si>
  <si>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</si>
  <si>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</si>
  <si>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</si>
  <si>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</si>
  <si>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</si>
  <si>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</si>
  <si>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</si>
  <si>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</si>
  <si>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</si>
  <si>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</si>
  <si>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</si>
  <si>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</si>
  <si>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</si>
  <si>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</si>
  <si>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</si>
  <si>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</si>
  <si>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</si>
  <si>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</si>
  <si>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</si>
  <si>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</si>
  <si>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</si>
  <si>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</si>
  <si>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</si>
  <si>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</si>
  <si>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</si>
  <si>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</si>
  <si>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</si>
  <si>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</si>
  <si>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</si>
  <si>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</si>
  <si>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</si>
  <si>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</si>
  <si>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</si>
  <si>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</si>
  <si>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</si>
  <si>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</si>
  <si>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</si>
  <si>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</si>
  <si>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</si>
  <si>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</si>
  <si>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</si>
  <si>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</si>
  <si>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</si>
  <si>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</si>
  <si>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</si>
  <si>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</si>
  <si>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</si>
  <si>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</si>
  <si>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</si>
  <si>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</si>
  <si>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</si>
  <si>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</si>
  <si>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</si>
  <si>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</si>
  <si>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</si>
  <si>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</si>
  <si>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</si>
  <si>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</si>
  <si>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</si>
  <si>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</si>
  <si>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</si>
  <si>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</si>
  <si>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</si>
  <si>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</si>
  <si>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</si>
  <si>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</si>
  <si>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</si>
  <si>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</si>
  <si>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</si>
  <si>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</si>
  <si>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</si>
  <si>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</si>
  <si>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</si>
  <si>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</si>
  <si>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</si>
  <si>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</si>
  <si>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</si>
  <si>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</si>
  <si>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</si>
  <si>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</si>
  <si>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</si>
  <si>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</si>
  <si>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</si>
  <si>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</si>
  <si>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</si>
  <si>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</si>
  <si>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</si>
  <si>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</si>
  <si>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</si>
  <si>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</si>
  <si>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</si>
  <si>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</si>
  <si>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</si>
  <si>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</si>
  <si>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</si>
  <si>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</si>
  <si>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</si>
  <si>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</si>
  <si>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</si>
  <si>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</si>
  <si>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</si>
  <si>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</si>
  <si>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</si>
  <si>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</si>
  <si>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</si>
  <si>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</si>
  <si>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</si>
  <si>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</si>
  <si>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</si>
  <si>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</si>
  <si>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</si>
  <si>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</si>
  <si>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</si>
  <si>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</si>
  <si>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</si>
  <si>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</si>
  <si>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</si>
  <si>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</si>
  <si>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</si>
  <si>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</si>
  <si>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</si>
  <si>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</si>
  <si>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</si>
  <si>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</si>
  <si>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</si>
  <si>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</si>
  <si>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</si>
  <si>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</si>
  <si>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</si>
  <si>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</si>
  <si>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</si>
  <si>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</si>
  <si>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</si>
  <si>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</si>
  <si>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</si>
  <si>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</si>
  <si>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</si>
  <si>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</si>
  <si>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</si>
  <si>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</si>
  <si>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</si>
  <si>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</si>
  <si>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</si>
  <si>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</si>
  <si>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</si>
  <si>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</si>
  <si>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</si>
  <si>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</si>
  <si>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</si>
  <si>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</si>
  <si>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</si>
  <si>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</si>
  <si>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</si>
  <si>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</si>
  <si>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</si>
  <si>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</si>
  <si>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</si>
  <si>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</si>
  <si>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</si>
  <si>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</si>
  <si>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</si>
  <si>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</si>
  <si>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</si>
  <si>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</si>
  <si>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</si>
  <si>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</si>
  <si>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</si>
  <si>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</si>
  <si>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</si>
  <si>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</si>
  <si>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</si>
  <si>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</si>
  <si>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</si>
  <si>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</si>
  <si>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</si>
  <si>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</si>
  <si>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</si>
  <si>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</si>
  <si>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</si>
  <si>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</si>
  <si>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</si>
  <si>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</si>
  <si>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</si>
  <si>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</si>
  <si>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</si>
  <si>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</si>
  <si>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</si>
  <si>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</si>
  <si>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</si>
  <si>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</si>
  <si>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</si>
  <si>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</si>
  <si>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</si>
  <si>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</si>
  <si>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</si>
  <si>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</si>
  <si>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</si>
  <si>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</si>
  <si>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</si>
  <si>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</si>
  <si>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</si>
  <si>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</si>
  <si>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</si>
  <si>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</si>
  <si>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</si>
  <si>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</si>
  <si>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</si>
  <si>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</si>
  <si>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</si>
  <si>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</si>
  <si>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</si>
  <si>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</si>
  <si>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</si>
  <si>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</si>
  <si>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</si>
  <si>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</si>
  <si>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</si>
  <si>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</si>
  <si>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</si>
  <si>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</si>
  <si>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</si>
  <si>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</si>
  <si>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</si>
  <si>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</si>
  <si>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</si>
  <si>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</si>
  <si>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</si>
  <si>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</si>
  <si>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</si>
  <si>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</si>
  <si>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</si>
  <si>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</si>
  <si>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</si>
  <si>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</si>
  <si>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</si>
  <si>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</si>
  <si>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</si>
  <si>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</si>
  <si>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</si>
  <si>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</si>
  <si>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</si>
  <si>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</si>
  <si>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</si>
  <si>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</si>
  <si>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</si>
  <si>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</si>
  <si>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</si>
  <si>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</si>
  <si>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</si>
  <si>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</si>
  <si>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</si>
  <si>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</si>
  <si>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</si>
  <si>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</si>
  <si>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</si>
  <si>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</si>
  <si>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</si>
  <si>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</si>
  <si>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</si>
  <si>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</si>
  <si>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</si>
  <si>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</si>
  <si>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</si>
  <si>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</si>
  <si>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</si>
  <si>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</si>
  <si>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</si>
  <si>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</si>
  <si>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</si>
  <si>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</si>
  <si>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</si>
  <si>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</si>
  <si>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</si>
  <si>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</si>
  <si>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</si>
  <si>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</si>
  <si>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</si>
  <si>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</si>
  <si>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</si>
  <si>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</si>
  <si>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</si>
  <si>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</si>
  <si>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</si>
  <si>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</si>
  <si>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</si>
  <si>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</si>
  <si>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</si>
  <si>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</si>
  <si>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</si>
  <si>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</si>
  <si>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</si>
  <si>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</si>
  <si>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</si>
  <si>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</si>
  <si>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</si>
  <si>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</si>
  <si>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</si>
  <si>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</si>
  <si>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</si>
  <si>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</si>
  <si>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</si>
  <si>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</si>
  <si>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</si>
  <si>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</si>
  <si>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</si>
  <si>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</si>
  <si>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</si>
  <si>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</si>
  <si>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</si>
  <si>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</si>
  <si>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</si>
  <si>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</si>
  <si>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</si>
  <si>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</si>
  <si>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</si>
  <si>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</si>
  <si>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</si>
  <si>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</si>
  <si>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</si>
  <si>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</si>
  <si>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</si>
  <si>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</si>
  <si>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</si>
  <si>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</si>
  <si>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</si>
  <si>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</si>
  <si>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</si>
  <si>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</si>
  <si>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</si>
  <si>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</si>
  <si>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</si>
  <si>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</si>
  <si>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</si>
  <si>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</si>
  <si>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</si>
  <si>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</si>
  <si>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</si>
  <si>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</si>
  <si>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</si>
  <si>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</si>
  <si>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</si>
  <si>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</si>
  <si>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</si>
  <si>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</si>
  <si>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</si>
  <si>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</si>
  <si>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</si>
  <si>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</si>
  <si>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</si>
  <si>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</si>
  <si>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</si>
  <si>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</si>
  <si>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</si>
  <si>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</si>
  <si>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</si>
  <si>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</si>
  <si>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</si>
  <si>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</si>
  <si>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</si>
  <si>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</si>
  <si>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</si>
  <si>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</si>
  <si>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</si>
  <si>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</si>
  <si>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</si>
  <si>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</si>
  <si>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</si>
  <si>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</si>
  <si>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</si>
  <si>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</si>
  <si>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</si>
  <si>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</si>
  <si>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</si>
  <si>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</si>
  <si>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</si>
  <si>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</si>
  <si>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</si>
  <si>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</si>
  <si>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</si>
  <si>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</si>
  <si>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</si>
  <si>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</si>
  <si>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</si>
  <si>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</si>
  <si>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</si>
  <si>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</si>
  <si>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</si>
  <si>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</si>
  <si>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</si>
  <si>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</si>
  <si>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</si>
  <si>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</si>
  <si>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</si>
  <si>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</si>
  <si>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</si>
  <si>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</si>
  <si>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</si>
  <si>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</si>
  <si>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</si>
  <si>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</si>
  <si>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</si>
  <si>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</si>
  <si>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</si>
  <si>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</si>
  <si>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</si>
  <si>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</si>
  <si>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</si>
  <si>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</si>
  <si>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</si>
  <si>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</si>
  <si>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</si>
  <si>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</si>
  <si>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</si>
  <si>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</si>
  <si>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</si>
  <si>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</si>
  <si>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</si>
  <si>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</si>
  <si>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</si>
  <si>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</si>
  <si>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</si>
  <si>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</si>
  <si>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</si>
  <si>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</si>
  <si>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</si>
  <si>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</si>
  <si>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</si>
  <si>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</si>
  <si>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</si>
  <si>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</si>
  <si>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</si>
  <si>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</si>
  <si>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</si>
  <si>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</si>
  <si>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</si>
  <si>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</si>
  <si>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</si>
  <si>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</si>
  <si>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</si>
  <si>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</si>
  <si>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</si>
  <si>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</si>
  <si>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</si>
  <si>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</si>
  <si>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</si>
  <si>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</si>
  <si>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</si>
  <si>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</si>
  <si>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</si>
  <si>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</si>
  <si>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</si>
  <si>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</si>
  <si>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</si>
  <si>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</si>
  <si>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</si>
  <si>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</si>
  <si>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</si>
  <si>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</si>
  <si>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</si>
  <si>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</si>
  <si>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</si>
  <si>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</si>
  <si>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</si>
  <si>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</si>
  <si>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</si>
  <si>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</si>
  <si>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</si>
  <si>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</si>
  <si>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</si>
  <si>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</si>
  <si>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</si>
  <si>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</si>
  <si>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</si>
  <si>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</si>
  <si>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</si>
  <si>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</si>
  <si>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</si>
  <si>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</si>
  <si>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</si>
  <si>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</si>
  <si>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</si>
  <si>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</si>
  <si>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</si>
  <si>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</si>
  <si>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</si>
  <si>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</si>
  <si>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</si>
  <si>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</si>
  <si>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</si>
  <si>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</si>
  <si>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</si>
  <si>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</si>
  <si>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</si>
  <si>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</si>
  <si>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</si>
  <si>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</si>
  <si>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</si>
  <si>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</si>
  <si>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</si>
  <si>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</si>
  <si>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</si>
  <si>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</si>
  <si>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</si>
  <si>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</si>
  <si>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</si>
  <si>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</si>
  <si>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</si>
  <si>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</si>
  <si>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</si>
  <si>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</si>
  <si>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</si>
  <si>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</si>
  <si>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</si>
  <si>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</si>
  <si>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</si>
  <si>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</si>
  <si>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</si>
  <si>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</si>
  <si>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</si>
  <si>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</si>
  <si>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</si>
  <si>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</si>
  <si>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</si>
  <si>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</si>
  <si>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</si>
  <si>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</si>
  <si>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</si>
  <si>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</si>
  <si>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</si>
  <si>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</si>
  <si>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</si>
  <si>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</si>
  <si>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</si>
  <si>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</si>
  <si>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</si>
  <si>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</si>
  <si>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</si>
  <si>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</si>
  <si>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</si>
  <si>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</si>
  <si>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</si>
  <si>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</si>
  <si>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</si>
  <si>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</si>
  <si>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</si>
  <si>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</si>
  <si>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</si>
  <si>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</si>
  <si>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</si>
  <si>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</si>
  <si>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</si>
  <si>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</si>
  <si>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</si>
  <si>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</si>
  <si>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</si>
  <si>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</si>
  <si>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</si>
  <si>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</si>
  <si>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</si>
  <si>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</si>
  <si>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</si>
  <si>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</si>
  <si>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</si>
  <si>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</si>
  <si>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</si>
  <si>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</si>
  <si>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</si>
  <si>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</si>
  <si>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</si>
  <si>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</si>
  <si>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</si>
  <si>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</si>
  <si>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</si>
  <si>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</si>
  <si>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</si>
  <si>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</si>
  <si>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</si>
  <si>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</si>
  <si>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</si>
  <si>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</si>
  <si>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</si>
  <si>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</si>
  <si>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</si>
  <si>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</si>
  <si>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</si>
  <si>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</si>
  <si>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</si>
  <si>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</si>
  <si>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</si>
  <si>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</si>
  <si>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</si>
  <si>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</si>
  <si>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</si>
  <si>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</si>
  <si>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</si>
  <si>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</si>
  <si>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</si>
  <si>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</si>
  <si>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</si>
  <si>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</si>
  <si>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</si>
  <si>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</si>
  <si>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</si>
  <si>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</si>
  <si>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</si>
  <si>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</si>
  <si>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</si>
  <si>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</si>
  <si>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</si>
  <si>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</si>
  <si>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</si>
  <si>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</si>
  <si>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</si>
  <si>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</si>
  <si>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</si>
  <si>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</si>
  <si>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</si>
  <si>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</si>
  <si>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</si>
  <si>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</si>
  <si>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</si>
  <si>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</si>
  <si>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</si>
  <si>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</si>
  <si>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</si>
  <si>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</si>
  <si>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</si>
  <si>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</si>
  <si>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</si>
  <si>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</si>
  <si>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</si>
  <si>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</si>
  <si>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</si>
  <si>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</si>
  <si>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</si>
  <si>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</si>
  <si>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</si>
  <si>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</si>
  <si>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</si>
  <si>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</si>
  <si>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</si>
  <si>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</si>
  <si>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</si>
  <si>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</si>
  <si>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</si>
  <si>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</si>
  <si>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</si>
  <si>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</si>
  <si>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</si>
  <si>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</si>
  <si>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</si>
  <si>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</si>
  <si>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</si>
  <si>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</si>
  <si>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</si>
  <si>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</si>
  <si>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</si>
  <si>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</si>
  <si>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</si>
  <si>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</si>
  <si>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</si>
  <si>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</si>
  <si>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</si>
  <si>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</si>
  <si>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</si>
  <si>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</si>
  <si>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</si>
  <si>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</si>
  <si>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</si>
  <si>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</si>
  <si>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</si>
  <si>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</si>
  <si>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</si>
  <si>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</si>
  <si>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</si>
  <si>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</si>
  <si>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</si>
  <si>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</si>
  <si>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</si>
  <si>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</si>
  <si>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</si>
  <si>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</si>
  <si>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</si>
  <si>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</si>
  <si>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</si>
  <si>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</si>
  <si>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</si>
  <si>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</si>
  <si>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</si>
  <si>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</si>
  <si>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</si>
  <si>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</si>
  <si>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</si>
  <si>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</si>
  <si>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</si>
  <si>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</si>
  <si>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</si>
  <si>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</si>
  <si>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</si>
  <si>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</si>
  <si>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</si>
  <si>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</si>
  <si>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</si>
  <si>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</si>
  <si>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</si>
  <si>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</si>
  <si>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</si>
  <si>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</si>
  <si>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</si>
  <si>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</si>
  <si>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</si>
  <si>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</si>
  <si>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</si>
  <si>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</si>
  <si>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</si>
  <si>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</si>
  <si>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</si>
  <si>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</si>
  <si>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</si>
  <si>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</si>
  <si>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</si>
  <si>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</si>
  <si>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</si>
  <si>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</si>
  <si>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</si>
  <si>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</si>
  <si>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</si>
  <si>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</si>
  <si>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</si>
  <si>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</si>
  <si>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</si>
  <si>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</si>
  <si>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</si>
  <si>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</si>
  <si>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</si>
  <si>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</si>
  <si>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</si>
  <si>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</si>
  <si>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</si>
  <si>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</si>
  <si>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</si>
  <si>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</si>
  <si>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</si>
  <si>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</si>
  <si>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</si>
  <si>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</si>
  <si>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</si>
  <si>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</si>
  <si>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</si>
  <si>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</si>
  <si>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</si>
  <si>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</si>
  <si>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</si>
  <si>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</si>
  <si>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</si>
  <si>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</si>
  <si>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</si>
  <si>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</si>
  <si>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</si>
  <si>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</si>
  <si>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</si>
  <si>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</si>
  <si>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</si>
  <si>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</si>
  <si>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</si>
  <si>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</si>
  <si>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</si>
  <si>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</si>
  <si>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</si>
  <si>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</si>
  <si>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</si>
  <si>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</si>
  <si>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</si>
  <si>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</si>
  <si>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</si>
  <si>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</si>
  <si>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</si>
  <si>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</si>
  <si>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</si>
  <si>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</si>
  <si>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</si>
  <si>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</si>
  <si>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</si>
  <si>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</si>
  <si>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</si>
  <si>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</si>
  <si>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</si>
  <si>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</si>
  <si>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</si>
  <si>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</si>
  <si>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</si>
  <si>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</si>
  <si>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</si>
  <si>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</si>
  <si>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</si>
  <si>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</si>
  <si>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</si>
  <si>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</si>
  <si>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</si>
  <si>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</si>
  <si>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</si>
  <si>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</si>
  <si>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</si>
  <si>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</si>
  <si>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</si>
  <si>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</si>
  <si>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</si>
  <si>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</si>
  <si>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</si>
  <si>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</si>
  <si>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</si>
  <si>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</si>
  <si>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</si>
  <si>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</si>
  <si>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</si>
  <si>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</si>
  <si>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</si>
  <si>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</si>
  <si>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</si>
  <si>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</si>
  <si>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</si>
  <si>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</si>
  <si>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</si>
  <si>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</si>
  <si>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</si>
  <si>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</si>
  <si>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</si>
  <si>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</si>
  <si>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</si>
  <si>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</si>
  <si>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</si>
  <si>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</si>
  <si>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</si>
  <si>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</si>
  <si>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</si>
  <si>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</si>
  <si>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</si>
  <si>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</si>
  <si>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</si>
  <si>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</si>
  <si>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</si>
  <si>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</si>
  <si>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</si>
  <si>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</si>
  <si>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</si>
  <si>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</si>
  <si>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</si>
  <si>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</si>
  <si>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</si>
  <si>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</si>
  <si>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</si>
  <si>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</si>
  <si>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</si>
  <si>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</si>
  <si>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</si>
  <si>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</si>
  <si>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</si>
  <si>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</si>
  <si>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</si>
  <si>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</si>
  <si>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</si>
  <si>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</si>
  <si>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</si>
  <si>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</si>
  <si>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</si>
  <si>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</si>
  <si>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</si>
  <si>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</si>
  <si>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</si>
  <si>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</si>
  <si>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</si>
  <si>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</si>
  <si>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</si>
  <si>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</si>
  <si>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</si>
  <si>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</si>
  <si>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</si>
  <si>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</si>
  <si>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</si>
  <si>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</si>
  <si>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</si>
  <si>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</si>
  <si>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</si>
  <si>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</si>
  <si>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</si>
  <si>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</si>
  <si>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</si>
  <si>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</si>
  <si>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</si>
  <si>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</si>
  <si>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</si>
  <si>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</si>
  <si>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</si>
  <si>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</si>
  <si>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</si>
  <si>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</si>
  <si>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</si>
  <si>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</si>
  <si>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</si>
  <si>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</si>
  <si>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</si>
  <si>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</si>
  <si>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</si>
  <si>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</si>
  <si>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</si>
  <si>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</si>
  <si>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</si>
  <si>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</si>
  <si>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</si>
  <si>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</si>
  <si>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</si>
  <si>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</si>
  <si>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</si>
  <si>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</si>
  <si>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</si>
  <si>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</si>
  <si>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</si>
  <si>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</si>
  <si>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</si>
  <si>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</si>
  <si>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</si>
  <si>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</si>
  <si>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</si>
  <si>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</si>
  <si>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</si>
  <si>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</si>
  <si>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</si>
  <si>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</si>
  <si>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</si>
  <si>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</si>
  <si>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</si>
  <si>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</si>
  <si>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</si>
  <si>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</si>
  <si>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</si>
  <si>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</si>
  <si>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</si>
  <si>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</si>
  <si>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</si>
  <si>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</si>
  <si>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</si>
  <si>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</si>
  <si>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</si>
  <si>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</si>
  <si>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</si>
  <si>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</si>
  <si>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</si>
  <si>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</si>
  <si>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</si>
  <si>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</si>
  <si>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</si>
  <si>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</si>
  <si>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</si>
  <si>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</si>
  <si>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</si>
  <si>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</si>
  <si>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</si>
  <si>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</si>
  <si>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</si>
  <si>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</si>
  <si>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</si>
  <si>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</si>
  <si>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</si>
  <si>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</si>
  <si>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</si>
  <si>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</si>
  <si>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</si>
  <si>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</si>
  <si>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</si>
  <si>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</si>
  <si>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</si>
  <si>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</si>
  <si>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</si>
  <si>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</si>
  <si>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</si>
  <si>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</si>
  <si>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</si>
  <si>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</si>
  <si>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</si>
  <si>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</si>
  <si>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</si>
  <si>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</si>
  <si>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</si>
  <si>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</si>
  <si>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</si>
  <si>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</si>
  <si>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</si>
  <si>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</si>
  <si>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</si>
  <si>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</si>
  <si>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</si>
  <si>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</si>
  <si>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</si>
  <si>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</si>
  <si>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</si>
  <si>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</si>
  <si>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</si>
  <si>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</si>
  <si>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</si>
  <si>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</si>
  <si>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</si>
  <si>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</si>
  <si>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</si>
  <si>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</si>
  <si>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</si>
  <si>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</si>
  <si>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</si>
  <si>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</si>
  <si>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</si>
  <si>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</si>
  <si>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</si>
  <si>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</si>
  <si>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</si>
  <si>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</si>
  <si>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</si>
  <si>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</si>
  <si>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</si>
  <si>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</si>
  <si>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</si>
  <si>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</si>
  <si>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</si>
  <si>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</si>
  <si>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</si>
  <si>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</si>
  <si>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</si>
  <si>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</si>
  <si>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</si>
  <si>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</si>
  <si>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</si>
  <si>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</si>
  <si>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</si>
  <si>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</si>
  <si>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</si>
  <si>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</si>
  <si>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</si>
  <si>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</si>
  <si>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</si>
  <si>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</si>
  <si>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</si>
  <si>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</si>
  <si>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</si>
  <si>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</si>
  <si>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</si>
  <si>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</si>
  <si>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</si>
  <si>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</si>
  <si>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</si>
  <si>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</si>
  <si>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</si>
  <si>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</si>
  <si>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</si>
  <si>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</si>
  <si>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</si>
  <si>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</si>
  <si>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</si>
  <si>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</si>
  <si>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</si>
  <si>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</si>
  <si>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</si>
  <si>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</si>
  <si>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</si>
  <si>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</si>
  <si>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</si>
  <si>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</si>
  <si>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</si>
  <si>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</si>
  <si>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</si>
  <si>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</si>
  <si>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</si>
  <si>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</si>
  <si>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</si>
  <si>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</si>
  <si>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</si>
  <si>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</si>
  <si>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</si>
  <si>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</si>
  <si>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</si>
  <si>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</si>
  <si>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</si>
  <si>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</si>
  <si>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</si>
  <si>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</si>
  <si>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</si>
  <si>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</si>
  <si>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</si>
  <si>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</si>
  <si>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</si>
  <si>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</si>
  <si>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</si>
  <si>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</si>
  <si>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</si>
  <si>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</si>
  <si>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</si>
  <si>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</si>
  <si>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</si>
  <si>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</si>
  <si>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</si>
  <si>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</si>
  <si>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</si>
  <si>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</si>
  <si>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</si>
  <si>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</si>
  <si>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</si>
  <si>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</si>
  <si>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</si>
  <si>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</si>
  <si>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</si>
  <si>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</si>
  <si>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</si>
  <si>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</si>
  <si>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</si>
  <si>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</si>
  <si>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</si>
  <si>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</si>
  <si>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</si>
  <si>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</si>
  <si>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</si>
  <si>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</si>
  <si>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</si>
  <si>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</si>
  <si>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</si>
  <si>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</si>
  <si>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</si>
  <si>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</si>
  <si>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</si>
  <si>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</si>
  <si>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</si>
  <si>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</si>
  <si>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</si>
  <si>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</si>
  <si>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</si>
  <si>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</si>
  <si>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</si>
  <si>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</si>
  <si>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</si>
  <si>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</si>
  <si>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</si>
  <si>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</si>
  <si>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</si>
  <si>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</si>
  <si>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</si>
  <si>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</si>
  <si>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</si>
  <si>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</si>
  <si>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</si>
  <si>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</si>
  <si>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</si>
  <si>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</si>
  <si>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</si>
  <si>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</si>
  <si>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</si>
  <si>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</si>
  <si>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</si>
  <si>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</si>
  <si>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</si>
  <si>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</si>
  <si>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</si>
  <si>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</si>
  <si>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</si>
  <si>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</si>
  <si>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</si>
  <si>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</si>
  <si>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</si>
  <si>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</si>
  <si>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</si>
  <si>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</si>
  <si>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</si>
  <si>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</si>
  <si>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</si>
  <si>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</si>
  <si>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</si>
  <si>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</si>
  <si>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</si>
  <si>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</si>
  <si>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</si>
  <si>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</si>
  <si>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</si>
  <si>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</si>
  <si>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</si>
  <si>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</si>
  <si>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</si>
  <si>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</si>
  <si>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</si>
  <si>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</si>
  <si>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</si>
  <si>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</si>
  <si>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</si>
  <si>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</si>
  <si>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</si>
  <si>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</si>
  <si>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</si>
  <si>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</si>
  <si>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</si>
  <si>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</si>
  <si>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</si>
  <si>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</si>
  <si>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</si>
  <si>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</si>
  <si>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</si>
  <si>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</si>
  <si>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</si>
  <si>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</si>
  <si>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</si>
  <si>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</si>
  <si>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</si>
  <si>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</si>
  <si>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</si>
  <si>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</si>
  <si>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</si>
  <si>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</si>
  <si>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</si>
  <si>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</si>
  <si>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</si>
  <si>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</si>
  <si>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</si>
  <si>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</si>
  <si>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</si>
  <si>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</si>
  <si>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</si>
  <si>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</si>
  <si>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</si>
  <si>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</si>
  <si>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</si>
  <si>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</si>
  <si>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</si>
  <si>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</si>
  <si>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</si>
  <si>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</si>
  <si>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</si>
  <si>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</si>
  <si>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</si>
  <si>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</si>
  <si>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</si>
  <si>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</si>
  <si>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</si>
  <si>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</si>
  <si>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</si>
  <si>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</si>
  <si>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</si>
  <si>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</si>
  <si>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</si>
  <si>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</si>
  <si>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</si>
  <si>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</si>
  <si>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</si>
  <si>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</si>
  <si>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</si>
  <si>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</si>
  <si>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</si>
  <si>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</si>
  <si>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</si>
  <si>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</si>
  <si>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</si>
  <si>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</si>
  <si>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</si>
  <si>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</si>
  <si>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</si>
  <si>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</si>
  <si>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</si>
  <si>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</si>
  <si>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</si>
  <si>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</si>
  <si>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</si>
  <si>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</si>
  <si>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</si>
  <si>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</si>
  <si>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</si>
  <si>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</si>
  <si>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</si>
  <si>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</si>
  <si>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</si>
  <si>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</si>
  <si>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</si>
  <si>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</si>
  <si>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</si>
  <si>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</si>
  <si>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</si>
  <si>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</si>
  <si>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</si>
  <si>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</si>
  <si>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</si>
  <si>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</si>
  <si>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</si>
  <si>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</si>
  <si>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</si>
  <si>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</si>
  <si>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</si>
  <si>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</si>
  <si>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</si>
  <si>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</si>
  <si>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</si>
  <si>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</si>
  <si>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</si>
  <si>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</si>
  <si>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</si>
  <si>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</si>
  <si>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</si>
  <si>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</si>
  <si>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</si>
  <si>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</si>
  <si>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</si>
  <si>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</si>
  <si>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</si>
  <si>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</si>
  <si>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</si>
  <si>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</si>
  <si>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</si>
  <si>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</si>
  <si>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</si>
  <si>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</si>
  <si>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</si>
  <si>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</si>
  <si>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</si>
  <si>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</si>
  <si>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</si>
  <si>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</si>
  <si>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</si>
  <si>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</si>
  <si>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</si>
  <si>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</si>
  <si>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</si>
  <si>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</si>
  <si>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</si>
  <si>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</si>
  <si>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</si>
  <si>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</si>
  <si>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</si>
  <si>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</si>
  <si>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</si>
  <si>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</si>
  <si>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</si>
  <si>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</si>
  <si>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</si>
  <si>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</si>
  <si>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</si>
  <si>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</si>
  <si>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</si>
  <si>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</si>
  <si>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</si>
  <si>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</si>
  <si>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</si>
  <si>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</si>
  <si>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</si>
  <si>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</si>
  <si>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</si>
  <si>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</si>
  <si>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</si>
  <si>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</si>
  <si>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</si>
  <si>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</si>
  <si>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</si>
  <si>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</si>
  <si>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</si>
  <si>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</si>
  <si>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</si>
  <si>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</si>
  <si>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</si>
  <si>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</si>
  <si>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</si>
  <si>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</si>
  <si>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</si>
  <si>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</si>
  <si>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</si>
  <si>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</si>
  <si>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</si>
  <si>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</si>
  <si>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</si>
  <si>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</si>
  <si>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</si>
  <si>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</si>
  <si>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</si>
  <si>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</si>
  <si>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</si>
  <si>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</si>
  <si>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</si>
  <si>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</si>
  <si>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</si>
  <si>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</si>
  <si>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</si>
  <si>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</si>
  <si>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</si>
  <si>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</si>
  <si>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</si>
  <si>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</si>
  <si>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</si>
  <si>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</si>
  <si>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</si>
  <si>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</si>
  <si>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</si>
  <si>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</si>
  <si>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</si>
  <si>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</si>
  <si>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</si>
  <si>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</si>
  <si>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</si>
  <si>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</si>
  <si>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</si>
  <si>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</si>
  <si>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</si>
  <si>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</si>
  <si>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</si>
  <si>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</si>
  <si>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</si>
  <si>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</si>
  <si>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</si>
  <si>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</si>
  <si>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</si>
  <si>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</si>
  <si>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</si>
  <si>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</si>
  <si>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</si>
  <si>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</si>
  <si>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</si>
  <si>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</si>
  <si>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</si>
  <si>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</si>
  <si>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</si>
  <si>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</si>
  <si>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</si>
  <si>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</si>
  <si>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</si>
  <si>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</si>
  <si>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</si>
  <si>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</si>
  <si>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</si>
  <si>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</si>
  <si>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</si>
  <si>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</si>
  <si>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</si>
  <si>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</si>
  <si>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</si>
  <si>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</si>
  <si>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</si>
  <si>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</si>
  <si>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</si>
  <si>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</si>
  <si>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</si>
  <si>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</si>
  <si>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</si>
  <si>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</si>
  <si>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</si>
  <si>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</si>
  <si>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</si>
  <si>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</si>
  <si>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</si>
  <si>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</si>
  <si>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</si>
  <si>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</si>
  <si>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</si>
  <si>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</si>
  <si>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</si>
  <si>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</si>
  <si>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</si>
  <si>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</si>
  <si>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</si>
  <si>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</si>
  <si>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</si>
  <si>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</si>
  <si>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</si>
  <si>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</si>
  <si>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</si>
  <si>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</si>
  <si>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</si>
  <si>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</si>
  <si>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</si>
  <si>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</si>
  <si>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</si>
  <si>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</si>
  <si>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</si>
  <si>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</si>
  <si>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</si>
  <si>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</si>
  <si>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</si>
  <si>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</si>
  <si>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</si>
  <si>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</si>
  <si>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</si>
  <si>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</si>
  <si>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</si>
  <si>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</si>
  <si>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</si>
  <si>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</si>
  <si>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</si>
  <si>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</si>
  <si>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</si>
  <si>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</si>
  <si>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</si>
  <si>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</si>
  <si>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</si>
  <si>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</si>
  <si>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</si>
  <si>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</si>
  <si>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</si>
  <si>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</si>
  <si>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</si>
  <si>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</si>
  <si>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</si>
  <si>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</si>
  <si>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</si>
  <si>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</si>
  <si>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</si>
  <si>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</si>
  <si>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</si>
  <si>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</si>
  <si>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</si>
  <si>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</si>
  <si>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</si>
  <si>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</si>
  <si>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</si>
  <si>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</si>
  <si>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</si>
  <si>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</si>
  <si>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</si>
  <si>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</si>
  <si>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</si>
  <si>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</si>
  <si>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</si>
  <si>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</si>
  <si>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</si>
  <si>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</si>
  <si>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</si>
  <si>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</si>
  <si>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</si>
  <si>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</si>
  <si>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</si>
  <si>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</si>
  <si>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</si>
  <si>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</si>
  <si>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</si>
  <si>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</si>
  <si>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</si>
  <si>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</si>
  <si>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</si>
  <si>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</si>
  <si>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</si>
  <si>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</si>
  <si>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</si>
  <si>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</si>
  <si>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</si>
  <si>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</si>
  <si>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</si>
  <si>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</si>
  <si>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</si>
  <si>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</si>
  <si>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</si>
  <si>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</si>
  <si>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</si>
  <si>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</si>
  <si>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</si>
  <si>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</si>
  <si>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</si>
  <si>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</si>
  <si>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</si>
  <si>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</si>
  <si>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</si>
  <si>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</si>
  <si>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</si>
  <si>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</si>
  <si>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</si>
  <si>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</si>
  <si>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</si>
  <si>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</si>
  <si>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</si>
  <si>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</si>
  <si>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</si>
  <si>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</si>
  <si>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</si>
  <si>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</si>
  <si>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</si>
  <si>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</si>
  <si>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</si>
  <si>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</si>
  <si>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</si>
  <si>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</si>
  <si>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</si>
  <si>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</si>
  <si>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</si>
  <si>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</si>
  <si>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</si>
  <si>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</si>
  <si>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</si>
  <si>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</si>
  <si>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</si>
  <si>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</si>
  <si>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</si>
  <si>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</si>
  <si>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</si>
  <si>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</si>
  <si>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</si>
  <si>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</si>
  <si>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</si>
  <si>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</si>
  <si>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</si>
  <si>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</si>
  <si>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</si>
  <si>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</si>
  <si>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</si>
  <si>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</si>
  <si>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</si>
  <si>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</si>
  <si>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</si>
  <si>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</si>
  <si>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</si>
  <si>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</si>
  <si>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</si>
  <si>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</si>
  <si>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</si>
  <si>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</si>
  <si>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</si>
  <si>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</si>
  <si>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</si>
  <si>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</si>
  <si>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</si>
  <si>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</si>
  <si>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</si>
  <si>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</si>
  <si>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</si>
  <si>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</si>
  <si>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</si>
  <si>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</si>
  <si>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</si>
  <si>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</si>
  <si>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</si>
  <si>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</si>
  <si>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</si>
  <si>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</si>
  <si>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</si>
  <si>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</si>
  <si>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</si>
  <si>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</si>
  <si>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</si>
  <si>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</si>
  <si>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</si>
  <si>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</si>
  <si>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</si>
  <si>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</si>
  <si>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</si>
  <si>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</si>
  <si>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</si>
  <si>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</si>
  <si>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</si>
  <si>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</si>
  <si>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</si>
  <si>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</si>
  <si>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</si>
  <si>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</si>
  <si>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</si>
  <si>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</si>
  <si>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</si>
  <si>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</si>
  <si>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</si>
  <si>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</si>
  <si>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</si>
  <si>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</si>
  <si>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</si>
  <si>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</si>
  <si>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</si>
  <si>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</si>
  <si>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</si>
  <si>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</si>
  <si>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</si>
  <si>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</si>
  <si>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</si>
  <si>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</si>
  <si>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</si>
  <si>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</si>
  <si>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</si>
  <si>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</si>
  <si>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</si>
  <si>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</si>
  <si>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</si>
  <si>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</si>
  <si>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</si>
  <si>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</si>
  <si>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</si>
  <si>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</si>
  <si>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</si>
  <si>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</si>
  <si>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</si>
  <si>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</si>
  <si>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</si>
  <si>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</si>
  <si>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</si>
  <si>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</si>
  <si>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</si>
  <si>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</si>
  <si>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</si>
  <si>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</si>
  <si>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</si>
  <si>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</si>
  <si>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</si>
  <si>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</si>
  <si>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</si>
  <si>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</si>
  <si>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</si>
  <si>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</si>
  <si>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</si>
  <si>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</si>
  <si>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</si>
  <si>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</si>
  <si>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</si>
  <si>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</si>
  <si>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</si>
  <si>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</si>
  <si>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</si>
  <si>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</si>
  <si>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</si>
  <si>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</si>
  <si>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</si>
  <si>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</si>
  <si>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</si>
  <si>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</si>
  <si>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</si>
  <si>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</si>
  <si>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</si>
  <si>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</si>
  <si>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</si>
  <si>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</si>
  <si>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</si>
  <si>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</si>
  <si>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</si>
  <si>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</si>
  <si>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</si>
  <si>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</si>
  <si>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</si>
  <si>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</si>
  <si>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</si>
  <si>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</si>
  <si>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</si>
  <si>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</si>
  <si>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</si>
  <si>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</si>
  <si>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</si>
  <si>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</si>
  <si>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</si>
  <si>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</si>
  <si>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</si>
  <si>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</si>
  <si>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</si>
  <si>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</si>
  <si>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</si>
  <si>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</si>
  <si>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</si>
  <si>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</si>
  <si>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</si>
  <si>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</si>
  <si>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</si>
  <si>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</si>
  <si>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</si>
  <si>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</si>
  <si>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</si>
  <si>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</si>
  <si>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</si>
  <si>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</si>
  <si>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</si>
  <si>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</si>
  <si>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</si>
  <si>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</si>
  <si>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</si>
  <si>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</si>
  <si>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</si>
  <si>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</si>
  <si>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</si>
  <si>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</si>
  <si>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</si>
  <si>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</si>
  <si>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</si>
  <si>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</si>
  <si>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</si>
  <si>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</si>
  <si>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</si>
  <si>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</si>
  <si>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</si>
  <si>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</si>
  <si>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</si>
  <si>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</si>
  <si>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</si>
  <si>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</si>
  <si>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</si>
  <si>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</si>
  <si>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</si>
  <si>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</si>
  <si>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</si>
  <si>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</si>
  <si>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</si>
  <si>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</si>
  <si>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</si>
  <si>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</si>
  <si>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</si>
  <si>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</si>
  <si>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</si>
  <si>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</si>
  <si>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</si>
  <si>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</si>
  <si>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</si>
  <si>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</si>
  <si>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</si>
  <si>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</si>
  <si>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</si>
  <si>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</si>
  <si>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</si>
  <si>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</si>
  <si>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</si>
  <si>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</si>
  <si>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</si>
  <si>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</si>
  <si>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</si>
  <si>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</si>
  <si>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</si>
  <si>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</si>
  <si>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</si>
  <si>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</si>
  <si>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</si>
  <si>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</si>
  <si>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</si>
  <si>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</si>
  <si>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</si>
  <si>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</si>
  <si>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</si>
  <si>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</si>
  <si>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</si>
  <si>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</si>
  <si>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</si>
  <si>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</si>
  <si>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</si>
  <si>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</si>
  <si>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</si>
  <si>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</si>
  <si>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</si>
  <si>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</si>
  <si>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</si>
  <si>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</si>
  <si>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</si>
  <si>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</si>
  <si>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</si>
  <si>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</si>
  <si>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</si>
  <si>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</si>
  <si>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</si>
  <si>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</si>
  <si>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</si>
  <si>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</si>
  <si>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</si>
  <si>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</si>
  <si>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</si>
  <si>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</si>
  <si>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</si>
  <si>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</si>
  <si>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</si>
  <si>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</si>
  <si>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</si>
  <si>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</si>
  <si>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</si>
  <si>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</si>
  <si>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</si>
  <si>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</si>
  <si>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</si>
  <si>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</si>
  <si>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</si>
  <si>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</si>
  <si>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</si>
  <si>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</si>
  <si>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</si>
  <si>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</si>
  <si>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</si>
  <si>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</si>
  <si>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</si>
  <si>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</si>
  <si>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</si>
  <si>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</si>
  <si>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</si>
  <si>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</si>
  <si>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</si>
  <si>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</si>
  <si>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</si>
  <si>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</si>
  <si>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</si>
  <si>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</si>
  <si>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</si>
  <si>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</si>
  <si>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</si>
  <si>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</si>
  <si>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</si>
  <si>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</si>
  <si>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</si>
  <si>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</si>
  <si>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</si>
  <si>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</si>
  <si>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</si>
  <si>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</si>
  <si>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</si>
  <si>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</si>
  <si>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</si>
  <si>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</si>
  <si>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</si>
  <si>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</si>
  <si>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</si>
  <si>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</si>
  <si>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</si>
  <si>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</si>
  <si>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</si>
  <si>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</si>
  <si>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</si>
  <si>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</si>
  <si>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</si>
  <si>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</si>
  <si>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</si>
  <si>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</si>
  <si>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</si>
  <si>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</si>
  <si>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</si>
  <si>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</si>
  <si>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</si>
  <si>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</si>
  <si>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</si>
  <si>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</si>
  <si>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</si>
  <si>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</si>
  <si>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</si>
  <si>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</si>
  <si>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</si>
  <si>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</si>
  <si>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</si>
  <si>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</si>
  <si>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</si>
  <si>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</si>
  <si>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</si>
  <si>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</si>
  <si>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</si>
  <si>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</si>
  <si>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</si>
  <si>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</si>
  <si>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</si>
  <si>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</si>
  <si>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</si>
  <si>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</si>
  <si>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</si>
  <si>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</si>
  <si>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</si>
  <si>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</si>
  <si>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</si>
  <si>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</si>
  <si>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</si>
  <si>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</si>
  <si>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</si>
  <si>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</si>
  <si>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</si>
  <si>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</si>
  <si>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</si>
  <si>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</si>
  <si>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</si>
  <si>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</si>
  <si>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</si>
  <si>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</si>
  <si>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</si>
  <si>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</si>
  <si>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</si>
  <si>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</si>
  <si>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</si>
  <si>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</si>
  <si>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</si>
  <si>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</si>
  <si>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</si>
  <si>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</si>
  <si>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</si>
  <si>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</si>
  <si>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</si>
  <si>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</si>
  <si>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</si>
  <si>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</si>
  <si>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</si>
  <si>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</si>
  <si>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</si>
  <si>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</si>
  <si>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</si>
  <si>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</si>
  <si>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</si>
  <si>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</si>
  <si>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</si>
  <si>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</si>
  <si>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</si>
  <si>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</si>
  <si>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</si>
  <si>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</si>
  <si>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</si>
  <si>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</si>
  <si>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</si>
  <si>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</si>
  <si>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</si>
  <si>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</si>
  <si>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</si>
  <si>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</si>
  <si>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</si>
  <si>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</si>
  <si>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</si>
  <si>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</si>
  <si>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</si>
  <si>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</si>
  <si>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</si>
  <si>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</si>
  <si>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</si>
  <si>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</si>
  <si>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</si>
  <si>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</si>
  <si>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</si>
  <si>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</si>
  <si>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</si>
  <si>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</si>
  <si>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</si>
  <si>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</si>
  <si>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</si>
  <si>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</si>
  <si>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</si>
  <si>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</si>
  <si>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</si>
  <si>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</si>
  <si>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</si>
  <si>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</si>
  <si>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</si>
  <si>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</si>
  <si>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</si>
  <si>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</si>
  <si>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</si>
  <si>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</si>
  <si>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</si>
  <si>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</si>
  <si>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</si>
  <si>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</si>
  <si>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</si>
  <si>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</si>
  <si>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</si>
  <si>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</si>
  <si>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</si>
  <si>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</si>
  <si>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</si>
  <si>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</si>
  <si>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</si>
  <si>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</si>
  <si>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</si>
  <si>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</si>
  <si>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</si>
  <si>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</si>
  <si>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</si>
  <si>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</si>
  <si>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</si>
  <si>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</si>
  <si>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</si>
  <si>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</si>
  <si>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</si>
  <si>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</si>
  <si>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</si>
  <si>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</si>
  <si>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</si>
  <si>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</si>
  <si>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</si>
  <si>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</si>
  <si>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</si>
  <si>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</si>
  <si>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</si>
  <si>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</si>
  <si>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</si>
  <si>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</si>
  <si>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</si>
  <si>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</si>
  <si>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</si>
  <si>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</si>
  <si>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</si>
  <si>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</si>
  <si>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</si>
  <si>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</si>
  <si>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</si>
  <si>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</si>
  <si>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</si>
  <si>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</si>
  <si>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</si>
  <si>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</si>
  <si>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</si>
  <si>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</si>
  <si>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</si>
  <si>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</si>
  <si>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</si>
  <si>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</si>
  <si>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</si>
  <si>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</si>
  <si>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</si>
  <si>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</si>
  <si>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</si>
  <si>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</si>
  <si>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</si>
  <si>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</si>
  <si>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</si>
  <si>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</si>
  <si>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</si>
  <si>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</si>
  <si>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</si>
  <si>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</si>
  <si>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</si>
  <si>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</si>
  <si>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</si>
  <si>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</si>
  <si>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</si>
  <si>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</si>
  <si>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</si>
  <si>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</si>
  <si>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</si>
  <si>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</si>
  <si>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</si>
  <si>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</si>
  <si>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</si>
  <si>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</si>
  <si>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</si>
  <si>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</si>
  <si>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</si>
  <si>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</si>
  <si>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</si>
  <si>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</si>
  <si>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</si>
  <si>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</si>
  <si>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</si>
  <si>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</si>
  <si>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</si>
  <si>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</si>
  <si>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</si>
  <si>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</si>
  <si>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</si>
  <si>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</si>
  <si>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</si>
  <si>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</si>
  <si>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</si>
  <si>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</si>
  <si>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</si>
  <si>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</si>
  <si>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</si>
  <si>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</si>
  <si>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</si>
  <si>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</si>
  <si>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</si>
  <si>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</si>
  <si>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</si>
  <si>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</si>
  <si>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</si>
  <si>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</si>
  <si>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</si>
  <si>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</si>
  <si>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</si>
  <si>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</si>
  <si>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</si>
  <si>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</si>
  <si>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</si>
  <si>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</si>
  <si>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</si>
  <si>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</si>
  <si>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</si>
  <si>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</si>
  <si>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</si>
  <si>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</si>
  <si>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</si>
  <si>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</si>
  <si>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</si>
  <si>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</si>
  <si>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</si>
  <si>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</si>
  <si>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</si>
  <si>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</si>
  <si>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</si>
  <si>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</si>
  <si>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</si>
  <si>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</si>
  <si>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</si>
  <si>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</si>
  <si>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</si>
  <si>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</si>
  <si>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</si>
  <si>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</si>
  <si>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</si>
  <si>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</si>
  <si>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</si>
  <si>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</si>
  <si>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</si>
  <si>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</si>
  <si>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</si>
  <si>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</si>
  <si>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</si>
  <si>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</si>
  <si>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</si>
  <si>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</si>
  <si>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</si>
  <si>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</si>
  <si>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</si>
  <si>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</si>
  <si>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</si>
  <si>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</si>
  <si>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</si>
  <si>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</si>
  <si>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</si>
  <si>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</si>
  <si>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</si>
  <si>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</si>
  <si>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</si>
  <si>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</si>
  <si>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</si>
  <si>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</si>
  <si>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</si>
  <si>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</si>
  <si>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</si>
  <si>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</si>
  <si>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</si>
  <si>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</si>
  <si>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</si>
  <si>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</si>
  <si>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</si>
  <si>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</si>
  <si>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</si>
  <si>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</si>
  <si>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</si>
  <si>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</si>
  <si>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</si>
  <si>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</si>
  <si>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</si>
  <si>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</si>
  <si>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</si>
  <si>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</si>
  <si>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</si>
  <si>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</si>
  <si>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</si>
  <si>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</si>
  <si>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</si>
  <si>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</si>
  <si>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</si>
  <si>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</si>
  <si>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</si>
  <si>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</si>
  <si>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</si>
  <si>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</si>
  <si>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</si>
  <si>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</si>
  <si>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</si>
  <si>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</si>
  <si>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</si>
  <si>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</si>
  <si>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</si>
  <si>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</si>
  <si>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</si>
  <si>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</si>
  <si>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</si>
  <si>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</si>
  <si>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</si>
  <si>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</si>
  <si>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</si>
  <si>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</si>
  <si>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</si>
  <si>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</si>
  <si>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</si>
  <si>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</si>
  <si>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</si>
  <si>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</si>
  <si>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</si>
  <si>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</si>
  <si>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</si>
  <si>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</si>
  <si>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</si>
  <si>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</si>
  <si>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</si>
  <si>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</si>
  <si>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</si>
  <si>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</si>
  <si>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</si>
  <si>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</si>
  <si>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</si>
  <si>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</si>
  <si>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</si>
  <si>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</si>
  <si>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</si>
  <si>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</si>
  <si>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</si>
  <si>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</si>
  <si>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</si>
  <si>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</si>
  <si>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</si>
  <si>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</si>
  <si>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</si>
  <si>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</si>
  <si>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</si>
  <si>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</si>
  <si>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</si>
  <si>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</si>
  <si>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</si>
  <si>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</si>
  <si>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</si>
  <si>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</si>
  <si>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</si>
  <si>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</si>
  <si>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</si>
  <si>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</si>
  <si>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</si>
  <si>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</si>
  <si>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</si>
  <si>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</si>
  <si>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</si>
  <si>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</si>
  <si>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</si>
  <si>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</si>
  <si>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</si>
  <si>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</si>
  <si>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</si>
  <si>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</si>
  <si>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</si>
  <si>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</si>
  <si>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</si>
  <si>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</si>
  <si>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</si>
  <si>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</si>
  <si>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</si>
  <si>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</si>
  <si>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</si>
  <si>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</si>
  <si>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</si>
  <si>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</si>
  <si>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</si>
  <si>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</si>
  <si>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</si>
  <si>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</si>
  <si>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</si>
  <si>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</si>
  <si>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</si>
  <si>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</si>
  <si>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</si>
  <si>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</si>
  <si>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</si>
  <si>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</si>
  <si>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</si>
  <si>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</si>
  <si>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</si>
  <si>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</si>
  <si>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</si>
  <si>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</si>
  <si>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</si>
  <si>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</si>
  <si>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</si>
  <si>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</si>
  <si>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</si>
  <si>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</si>
  <si>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</si>
  <si>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</si>
  <si>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</si>
  <si>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</si>
  <si>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</si>
  <si>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</si>
  <si>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</si>
  <si>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</si>
  <si>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</si>
  <si>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</si>
  <si>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</si>
  <si>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</si>
  <si>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</si>
  <si>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</si>
  <si>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</si>
  <si>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</si>
  <si>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</si>
  <si>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</si>
  <si>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</si>
  <si>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</si>
  <si>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</si>
  <si>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</si>
  <si>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</si>
  <si>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</si>
  <si>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</si>
  <si>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</si>
  <si>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</si>
  <si>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</si>
  <si>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</si>
  <si>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</si>
  <si>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</si>
  <si>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</si>
  <si>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</si>
  <si>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</si>
  <si>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</si>
  <si>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</si>
  <si>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</si>
  <si>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</si>
  <si>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</si>
  <si>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</si>
  <si>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</si>
  <si>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</si>
  <si>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</si>
  <si>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</si>
  <si>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</si>
  <si>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</si>
  <si>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</si>
  <si>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</si>
  <si>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</si>
  <si>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</si>
  <si>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</si>
  <si>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</si>
  <si>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</si>
  <si>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</si>
  <si>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</si>
  <si>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</si>
  <si>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</si>
  <si>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</si>
  <si>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</si>
  <si>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</si>
  <si>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</si>
  <si>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</si>
  <si>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</si>
  <si>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</si>
  <si>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</si>
  <si>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</si>
  <si>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</si>
  <si>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</si>
  <si>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</si>
  <si>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</si>
  <si>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</si>
  <si>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</si>
  <si>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</si>
  <si>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</si>
  <si>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</si>
  <si>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</si>
  <si>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</si>
  <si>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</si>
  <si>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</si>
  <si>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</si>
  <si>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</si>
  <si>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</si>
  <si>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</si>
  <si>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</si>
  <si>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</si>
  <si>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</si>
  <si>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</si>
  <si>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</si>
  <si>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</si>
  <si>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</si>
  <si>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</si>
  <si>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</si>
  <si>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</si>
  <si>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</si>
  <si>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</si>
  <si>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</si>
  <si>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</si>
  <si>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</si>
  <si>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</si>
  <si>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</si>
  <si>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</si>
  <si>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</si>
  <si>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</si>
  <si>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</si>
  <si>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</si>
  <si>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</si>
  <si>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</si>
  <si>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</si>
  <si>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</si>
  <si>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</si>
  <si>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</si>
  <si>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</si>
  <si>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</si>
  <si>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</si>
  <si>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</si>
  <si>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</si>
  <si>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</si>
  <si>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</si>
  <si>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</si>
  <si>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</si>
  <si>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</si>
  <si>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</si>
  <si>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</si>
  <si>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</si>
  <si>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</si>
  <si>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</si>
  <si>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</si>
  <si>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</si>
  <si>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</si>
  <si>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</si>
  <si>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</si>
  <si>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</si>
  <si>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</si>
  <si>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</si>
  <si>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</si>
  <si>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</si>
  <si>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</si>
  <si>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</si>
  <si>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</si>
  <si>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</si>
  <si>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</si>
  <si>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</si>
  <si>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</si>
  <si>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</si>
  <si>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</si>
  <si>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</si>
  <si>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</si>
  <si>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</si>
  <si>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</si>
  <si>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</si>
  <si>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</si>
  <si>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</si>
  <si>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</si>
  <si>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</si>
  <si>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</si>
  <si>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</si>
  <si>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</si>
  <si>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</si>
  <si>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</si>
  <si>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</si>
  <si>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</si>
  <si>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</si>
  <si>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</si>
  <si>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</si>
  <si>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</si>
  <si>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</si>
  <si>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</si>
  <si>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</si>
  <si>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</si>
  <si>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</si>
  <si>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</si>
  <si>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</si>
  <si>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</si>
  <si>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</si>
  <si>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</si>
  <si>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</si>
  <si>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</si>
  <si>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</si>
  <si>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</si>
  <si>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</si>
  <si>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</si>
  <si>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</si>
  <si>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</si>
  <si>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</si>
  <si>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</si>
  <si>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</si>
  <si>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</si>
  <si>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</si>
  <si>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</si>
  <si>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</si>
  <si>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</si>
  <si>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</si>
  <si>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</si>
  <si>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</si>
  <si>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</si>
  <si>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</si>
  <si>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</si>
  <si>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</si>
  <si>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</si>
  <si>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</si>
  <si>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</si>
  <si>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</si>
  <si>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</si>
  <si>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</si>
  <si>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</si>
  <si>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</si>
  <si>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</si>
  <si>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</si>
  <si>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</si>
  <si>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</si>
  <si>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</si>
  <si>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</si>
  <si>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</si>
  <si>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</si>
  <si>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</si>
  <si>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</si>
  <si>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</si>
  <si>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</si>
  <si>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</si>
  <si>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</si>
  <si>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</si>
  <si>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</si>
  <si>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</si>
  <si>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</si>
  <si>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</si>
  <si>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</si>
  <si>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</si>
  <si>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</si>
  <si>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</si>
  <si>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</si>
  <si>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</si>
  <si>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</si>
  <si>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</si>
  <si>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</si>
  <si>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</si>
  <si>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</si>
  <si>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</si>
  <si>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</si>
  <si>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</si>
  <si>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</si>
  <si>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</si>
  <si>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</si>
  <si>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</si>
  <si>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</si>
  <si>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</si>
  <si>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</si>
  <si>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</si>
  <si>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</si>
  <si>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</si>
  <si>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</si>
  <si>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</si>
  <si>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</si>
  <si>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</si>
  <si>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</si>
  <si>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</si>
  <si>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</si>
  <si>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</si>
  <si>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</si>
  <si>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</si>
  <si>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</si>
  <si>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</si>
  <si>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</si>
  <si>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</si>
  <si>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</si>
  <si>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</si>
  <si>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</si>
  <si>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</si>
  <si>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</si>
  <si>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</si>
  <si>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</si>
  <si>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</si>
  <si>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</si>
  <si>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</si>
  <si>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</si>
  <si>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</si>
  <si>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</si>
  <si>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</si>
  <si>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</si>
  <si>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shipped</t>
  </si>
  <si>
    <t>total order</t>
  </si>
  <si>
    <t>total OTY of laptop</t>
  </si>
  <si>
    <t>total amt rec. by online</t>
  </si>
  <si>
    <t>order status</t>
  </si>
  <si>
    <t>s.no</t>
  </si>
  <si>
    <t>question</t>
  </si>
  <si>
    <t>ans</t>
  </si>
  <si>
    <t>dyn.cha.</t>
  </si>
  <si>
    <t>ALL DETAILS(CANCELLED)</t>
  </si>
  <si>
    <t>ALL DETAILS</t>
  </si>
  <si>
    <t>ans--&gt;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</si>
</sst>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201"/>
  <sheetViews>
    <sheetView tabSelected="1" topLeftCell="G1" zoomScale="101" workbookViewId="0">
      <selection activeCell="S14" sqref="S14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  <col min="17" max="17" width="26" customWidth="1"/>
    <col min="18" max="18" width="14.33203125" customWidth="1"/>
    <col min="19" max="19" width="11.21875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3" t="s">
        <v>4288</v>
      </c>
      <c r="Q1" s="3" t="s">
        <v>4289</v>
      </c>
      <c r="R1" s="3" t="s">
        <v>4291</v>
      </c>
      <c r="S1" s="4" t="s">
        <v>4290</v>
      </c>
    </row>
    <row r="2" spans="1:47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47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P3">
        <v>1</v>
      </c>
      <c r="Q3" t="s">
        <v>4284</v>
      </c>
      <c r="S3">
        <f>COUNTA(A:A,)</f>
        <v>1202</v>
      </c>
    </row>
    <row r="4" spans="1:47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P4">
        <v>2</v>
      </c>
      <c r="Q4" t="s">
        <v>4285</v>
      </c>
      <c r="S4">
        <f>SUMIF(D:D,"laptop",E:E)</f>
        <v>535</v>
      </c>
    </row>
    <row r="5" spans="1:47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P5">
        <v>3</v>
      </c>
      <c r="Q5" t="s">
        <v>4286</v>
      </c>
      <c r="R5" t="s">
        <v>3066</v>
      </c>
      <c r="S5">
        <f>SUMIF(H:H,R5,N:N)</f>
        <v>262442.94000000012</v>
      </c>
    </row>
    <row r="6" spans="1:47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P6">
        <v>4</v>
      </c>
      <c r="Q6" t="s">
        <v>4287</v>
      </c>
      <c r="R6" t="s">
        <v>4283</v>
      </c>
      <c r="S6">
        <f>COUNTIF(I:I,R6)</f>
        <v>235</v>
      </c>
    </row>
    <row r="7" spans="1:47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P7">
        <v>5</v>
      </c>
      <c r="Q7" t="s">
        <v>4293</v>
      </c>
      <c r="R7" t="s">
        <v>1214</v>
      </c>
      <c r="S7" t="str" cm="1">
        <f t="array" ref="S7:AF7">_xlfn.XLOOKUP(R7,C:C,A:N)</f>
        <v>ORD200000</v>
      </c>
      <c r="T7">
        <v>44930</v>
      </c>
      <c r="U7" t="str">
        <v>C72649</v>
      </c>
      <c r="V7" t="str">
        <v>Monitor</v>
      </c>
      <c r="W7">
        <v>5</v>
      </c>
      <c r="X7">
        <v>570.62</v>
      </c>
      <c r="Y7" t="str">
        <v>928 Main St</v>
      </c>
      <c r="Z7" t="str">
        <v>Debit Card</v>
      </c>
      <c r="AA7" t="str">
        <v>Shipped</v>
      </c>
      <c r="AB7" t="str">
        <v>TRK37947903</v>
      </c>
      <c r="AC7">
        <v>7</v>
      </c>
      <c r="AD7" t="str">
        <v>SAVE10</v>
      </c>
      <c r="AE7" t="str">
        <v>Instagram</v>
      </c>
      <c r="AF7">
        <v>2853.1</v>
      </c>
    </row>
    <row r="8" spans="1:47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P8">
        <v>6</v>
      </c>
      <c r="Q8" t="s">
        <v>4292</v>
      </c>
      <c r="R8" t="s">
        <v>3071</v>
      </c>
      <c r="S8" t="s">
        <v>4294</v>
      </c>
      <c r="AH8" t="str" cm="1">
        <f t="array" ref="AH8:AU257">_xlfn._xlws.FILTER(A:N,I:I=R8)</f>
        <v>ORD200002</v>
      </c>
      <c r="AI8">
        <v>45349</v>
      </c>
      <c r="AJ8" t="str">
        <v>C81728</v>
      </c>
      <c r="AK8" t="str">
        <v>Tablet</v>
      </c>
      <c r="AL8">
        <v>5</v>
      </c>
      <c r="AM8">
        <v>550.67999999999995</v>
      </c>
      <c r="AN8" t="str">
        <v>512 Main St</v>
      </c>
      <c r="AO8" t="str">
        <v>Credit Card</v>
      </c>
      <c r="AP8" t="str">
        <v>Cancelled</v>
      </c>
      <c r="AQ8" t="str">
        <v>TRK42903982</v>
      </c>
      <c r="AR8">
        <v>8</v>
      </c>
      <c r="AS8" t="str">
        <v>FREESHIP</v>
      </c>
      <c r="AT8" t="str">
        <v>Email</v>
      </c>
      <c r="AU8">
        <v>2753.4</v>
      </c>
    </row>
    <row r="9" spans="1:47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P9">
        <v>7</v>
      </c>
      <c r="Q9" t="s">
        <v>3118</v>
      </c>
      <c r="S9" cm="1">
        <f t="array" ref="S9:V9">_xlfn.XLOOKUP(Q9,J:J,B:E)</f>
        <v>45274</v>
      </c>
      <c r="T9" t="str">
        <v>C60572</v>
      </c>
      <c r="U9" t="str">
        <v>Chair</v>
      </c>
      <c r="V9">
        <v>3</v>
      </c>
      <c r="AH9" t="str">
        <v>ORD200008</v>
      </c>
      <c r="AI9">
        <v>45749</v>
      </c>
      <c r="AJ9" t="str">
        <v>C26817</v>
      </c>
      <c r="AK9" t="str">
        <v>Phone</v>
      </c>
      <c r="AL9">
        <v>2</v>
      </c>
      <c r="AM9">
        <v>134.28</v>
      </c>
      <c r="AN9" t="str">
        <v>904 Main St</v>
      </c>
      <c r="AO9" t="str">
        <v>Gift Card</v>
      </c>
      <c r="AP9" t="str">
        <v>Cancelled</v>
      </c>
      <c r="AQ9" t="str">
        <v>TRK61042692</v>
      </c>
      <c r="AR9">
        <v>2</v>
      </c>
      <c r="AS9">
        <v>0</v>
      </c>
      <c r="AT9" t="str">
        <v>Email</v>
      </c>
      <c r="AU9">
        <v>268.56</v>
      </c>
    </row>
    <row r="10" spans="1:47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  <c r="P10">
        <v>8</v>
      </c>
      <c r="Q10" t="s">
        <v>24</v>
      </c>
      <c r="R10" t="s">
        <v>11</v>
      </c>
      <c r="S10" t="str">
        <f>VLOOKUP(Q10,A:N,MATCH(R10,A1:N1,0),0)</f>
        <v>WINTER15</v>
      </c>
      <c r="AH10" t="str">
        <v>ORD200023</v>
      </c>
      <c r="AI10">
        <v>45756</v>
      </c>
      <c r="AJ10" t="str">
        <v>C42372</v>
      </c>
      <c r="AK10" t="str">
        <v>Phone</v>
      </c>
      <c r="AL10">
        <v>4</v>
      </c>
      <c r="AM10">
        <v>273.25</v>
      </c>
      <c r="AN10" t="str">
        <v>755 Main St</v>
      </c>
      <c r="AO10" t="str">
        <v>Debit Card</v>
      </c>
      <c r="AP10" t="str">
        <v>Cancelled</v>
      </c>
      <c r="AQ10" t="str">
        <v>TRK36168083</v>
      </c>
      <c r="AR10">
        <v>5</v>
      </c>
      <c r="AS10" t="str">
        <v>FREESHIP</v>
      </c>
      <c r="AT10" t="str">
        <v>Referral</v>
      </c>
      <c r="AU10">
        <v>1093</v>
      </c>
    </row>
    <row r="11" spans="1:47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AH11" t="str">
        <v>ORD200033</v>
      </c>
      <c r="AI11">
        <v>45082</v>
      </c>
      <c r="AJ11" t="str">
        <v>C52184</v>
      </c>
      <c r="AK11" t="str">
        <v>Chair</v>
      </c>
      <c r="AL11">
        <v>1</v>
      </c>
      <c r="AM11">
        <v>162.77000000000001</v>
      </c>
      <c r="AN11" t="str">
        <v>912 Main St</v>
      </c>
      <c r="AO11" t="str">
        <v>Online</v>
      </c>
      <c r="AP11" t="str">
        <v>Cancelled</v>
      </c>
      <c r="AQ11" t="str">
        <v>TRK73312471</v>
      </c>
      <c r="AR11">
        <v>4</v>
      </c>
      <c r="AS11" t="str">
        <v>WINTER15</v>
      </c>
      <c r="AT11" t="str">
        <v>Facebook</v>
      </c>
      <c r="AU11">
        <v>162.77000000000001</v>
      </c>
    </row>
    <row r="12" spans="1:47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AH12" t="str">
        <v>ORD200042</v>
      </c>
      <c r="AI12">
        <v>45418</v>
      </c>
      <c r="AJ12" t="str">
        <v>C28712</v>
      </c>
      <c r="AK12" t="str">
        <v>Printer</v>
      </c>
      <c r="AL12">
        <v>2</v>
      </c>
      <c r="AM12">
        <v>151.66</v>
      </c>
      <c r="AN12" t="str">
        <v>980 Main St</v>
      </c>
      <c r="AO12" t="str">
        <v>Cash</v>
      </c>
      <c r="AP12" t="str">
        <v>Cancelled</v>
      </c>
      <c r="AQ12" t="str">
        <v>TRK40772558</v>
      </c>
      <c r="AR12">
        <v>6</v>
      </c>
      <c r="AS12">
        <v>0</v>
      </c>
      <c r="AT12" t="str">
        <v>Instagram</v>
      </c>
      <c r="AU12">
        <v>303.32</v>
      </c>
    </row>
    <row r="13" spans="1:47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AH13" t="str">
        <v>ORD200043</v>
      </c>
      <c r="AI13">
        <v>45274</v>
      </c>
      <c r="AJ13" t="str">
        <v>C60572</v>
      </c>
      <c r="AK13" t="str">
        <v>Chair</v>
      </c>
      <c r="AL13">
        <v>3</v>
      </c>
      <c r="AM13">
        <v>499.21</v>
      </c>
      <c r="AN13" t="str">
        <v>871 Main St</v>
      </c>
      <c r="AO13" t="str">
        <v>Online</v>
      </c>
      <c r="AP13" t="str">
        <v>Cancelled</v>
      </c>
      <c r="AQ13" t="str">
        <v>TRK20351666</v>
      </c>
      <c r="AR13">
        <v>8</v>
      </c>
      <c r="AS13">
        <v>0</v>
      </c>
      <c r="AT13" t="str">
        <v>Instagram</v>
      </c>
      <c r="AU13">
        <v>1497.63</v>
      </c>
    </row>
    <row r="14" spans="1:47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AH14" t="str">
        <v>ORD200050</v>
      </c>
      <c r="AI14">
        <v>45138</v>
      </c>
      <c r="AJ14" t="str">
        <v>C96494</v>
      </c>
      <c r="AK14" t="str">
        <v>Tablet</v>
      </c>
      <c r="AL14">
        <v>1</v>
      </c>
      <c r="AM14">
        <v>179.22</v>
      </c>
      <c r="AN14" t="str">
        <v>446 Main St</v>
      </c>
      <c r="AO14" t="str">
        <v>Online</v>
      </c>
      <c r="AP14" t="str">
        <v>Cancelled</v>
      </c>
      <c r="AQ14" t="str">
        <v>TRK14675049</v>
      </c>
      <c r="AR14">
        <v>6</v>
      </c>
      <c r="AS14" t="str">
        <v>FREESHIP</v>
      </c>
      <c r="AT14" t="str">
        <v>Instagram</v>
      </c>
      <c r="AU14">
        <v>179.22</v>
      </c>
    </row>
    <row r="15" spans="1:47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AH15" t="str">
        <v>ORD200055</v>
      </c>
      <c r="AI15">
        <v>45832</v>
      </c>
      <c r="AJ15" t="str">
        <v>C95984</v>
      </c>
      <c r="AK15" t="str">
        <v>Printer</v>
      </c>
      <c r="AL15">
        <v>3</v>
      </c>
      <c r="AM15">
        <v>344.4</v>
      </c>
      <c r="AN15" t="str">
        <v>565 Main St</v>
      </c>
      <c r="AO15" t="str">
        <v>Online</v>
      </c>
      <c r="AP15" t="str">
        <v>Cancelled</v>
      </c>
      <c r="AQ15" t="str">
        <v>TRK67434829</v>
      </c>
      <c r="AR15">
        <v>3</v>
      </c>
      <c r="AS15">
        <v>0</v>
      </c>
      <c r="AT15" t="str">
        <v>Facebook</v>
      </c>
      <c r="AU15">
        <v>1033.2</v>
      </c>
    </row>
    <row r="16" spans="1:47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AH16" t="str">
        <v>ORD200056</v>
      </c>
      <c r="AI16">
        <v>45067</v>
      </c>
      <c r="AJ16" t="str">
        <v>C54298</v>
      </c>
      <c r="AK16" t="str">
        <v>Tablet</v>
      </c>
      <c r="AL16">
        <v>3</v>
      </c>
      <c r="AM16">
        <v>479.21</v>
      </c>
      <c r="AN16" t="str">
        <v>566 Main St</v>
      </c>
      <c r="AO16" t="str">
        <v>Cash</v>
      </c>
      <c r="AP16" t="str">
        <v>Cancelled</v>
      </c>
      <c r="AQ16" t="str">
        <v>TRK62902341</v>
      </c>
      <c r="AR16">
        <v>5</v>
      </c>
      <c r="AS16" t="str">
        <v>WINTER15</v>
      </c>
      <c r="AT16" t="str">
        <v>Referral</v>
      </c>
      <c r="AU16">
        <v>1437.63</v>
      </c>
    </row>
    <row r="17" spans="1:47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  <c r="AH17" t="str">
        <v>ORD200058</v>
      </c>
      <c r="AI17">
        <v>44941</v>
      </c>
      <c r="AJ17" t="str">
        <v>C60190</v>
      </c>
      <c r="AK17" t="str">
        <v>Phone</v>
      </c>
      <c r="AL17">
        <v>4</v>
      </c>
      <c r="AM17">
        <v>474.69</v>
      </c>
      <c r="AN17" t="str">
        <v>202 Main St</v>
      </c>
      <c r="AO17" t="str">
        <v>Gift Card</v>
      </c>
      <c r="AP17" t="str">
        <v>Cancelled</v>
      </c>
      <c r="AQ17" t="str">
        <v>TRK70857868</v>
      </c>
      <c r="AR17">
        <v>6</v>
      </c>
      <c r="AS17" t="str">
        <v>SAVE10</v>
      </c>
      <c r="AT17" t="str">
        <v>Google</v>
      </c>
      <c r="AU17">
        <v>1898.76</v>
      </c>
    </row>
    <row r="18" spans="1:47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AH18" t="str">
        <v>ORD200064</v>
      </c>
      <c r="AI18">
        <v>45833</v>
      </c>
      <c r="AJ18" t="str">
        <v>C49720</v>
      </c>
      <c r="AK18" t="str">
        <v>Printer</v>
      </c>
      <c r="AL18">
        <v>3</v>
      </c>
      <c r="AM18">
        <v>130.61000000000001</v>
      </c>
      <c r="AN18" t="str">
        <v>752 Main St</v>
      </c>
      <c r="AO18" t="str">
        <v>Debit Card</v>
      </c>
      <c r="AP18" t="str">
        <v>Cancelled</v>
      </c>
      <c r="AQ18" t="str">
        <v>TRK55785217</v>
      </c>
      <c r="AR18">
        <v>4</v>
      </c>
      <c r="AS18" t="str">
        <v>FREESHIP</v>
      </c>
      <c r="AT18" t="str">
        <v>Facebook</v>
      </c>
      <c r="AU18">
        <v>391.83</v>
      </c>
    </row>
    <row r="19" spans="1:47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  <c r="AH19" t="str">
        <v>ORD200066</v>
      </c>
      <c r="AI19">
        <v>45611</v>
      </c>
      <c r="AJ19" t="str">
        <v>C18104</v>
      </c>
      <c r="AK19" t="str">
        <v>Chair</v>
      </c>
      <c r="AL19">
        <v>5</v>
      </c>
      <c r="AM19">
        <v>127.18</v>
      </c>
      <c r="AN19" t="str">
        <v>715 Main St</v>
      </c>
      <c r="AO19" t="str">
        <v>Cash</v>
      </c>
      <c r="AP19" t="str">
        <v>Cancelled</v>
      </c>
      <c r="AQ19" t="str">
        <v>TRK15488568</v>
      </c>
      <c r="AR19">
        <v>9</v>
      </c>
      <c r="AS19" t="str">
        <v>SAVE10</v>
      </c>
      <c r="AT19" t="str">
        <v>Referral</v>
      </c>
      <c r="AU19">
        <v>635.90000000000009</v>
      </c>
    </row>
    <row r="20" spans="1:47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AH20" t="str">
        <v>ORD200067</v>
      </c>
      <c r="AI20">
        <v>45635</v>
      </c>
      <c r="AJ20" t="str">
        <v>C25587</v>
      </c>
      <c r="AK20" t="str">
        <v>Printer</v>
      </c>
      <c r="AL20">
        <v>4</v>
      </c>
      <c r="AM20">
        <v>12.1</v>
      </c>
      <c r="AN20" t="str">
        <v>440 Main St</v>
      </c>
      <c r="AO20" t="str">
        <v>Debit Card</v>
      </c>
      <c r="AP20" t="str">
        <v>Cancelled</v>
      </c>
      <c r="AQ20" t="str">
        <v>TRK55105323</v>
      </c>
      <c r="AR20">
        <v>8</v>
      </c>
      <c r="AS20">
        <v>0</v>
      </c>
      <c r="AT20" t="str">
        <v>Google</v>
      </c>
      <c r="AU20">
        <v>48.4</v>
      </c>
    </row>
    <row r="21" spans="1:47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AH21" t="str">
        <v>ORD200073</v>
      </c>
      <c r="AI21">
        <v>45049</v>
      </c>
      <c r="AJ21" t="str">
        <v>C17269</v>
      </c>
      <c r="AK21" t="str">
        <v>Monitor</v>
      </c>
      <c r="AL21">
        <v>4</v>
      </c>
      <c r="AM21">
        <v>433.45</v>
      </c>
      <c r="AN21" t="str">
        <v>129 Main St</v>
      </c>
      <c r="AO21" t="str">
        <v>Gift Card</v>
      </c>
      <c r="AP21" t="str">
        <v>Cancelled</v>
      </c>
      <c r="AQ21" t="str">
        <v>TRK79608389</v>
      </c>
      <c r="AR21">
        <v>4</v>
      </c>
      <c r="AS21">
        <v>0</v>
      </c>
      <c r="AT21" t="str">
        <v>Facebook</v>
      </c>
      <c r="AU21">
        <v>1733.8</v>
      </c>
    </row>
    <row r="22" spans="1:47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AH22" t="str">
        <v>ORD200076</v>
      </c>
      <c r="AI22">
        <v>45382</v>
      </c>
      <c r="AJ22" t="str">
        <v>C58638</v>
      </c>
      <c r="AK22" t="str">
        <v>Laptop</v>
      </c>
      <c r="AL22">
        <v>4</v>
      </c>
      <c r="AM22">
        <v>382.88</v>
      </c>
      <c r="AN22" t="str">
        <v>239 Main St</v>
      </c>
      <c r="AO22" t="str">
        <v>Cash</v>
      </c>
      <c r="AP22" t="str">
        <v>Cancelled</v>
      </c>
      <c r="AQ22" t="str">
        <v>TRK38224871</v>
      </c>
      <c r="AR22">
        <v>6</v>
      </c>
      <c r="AS22" t="str">
        <v>WINTER15</v>
      </c>
      <c r="AT22" t="str">
        <v>Email</v>
      </c>
      <c r="AU22">
        <v>1531.52</v>
      </c>
    </row>
    <row r="23" spans="1:47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  <c r="AH23" t="str">
        <v>ORD200083</v>
      </c>
      <c r="AI23">
        <v>45160</v>
      </c>
      <c r="AJ23" t="str">
        <v>C15681</v>
      </c>
      <c r="AK23" t="str">
        <v>Laptop</v>
      </c>
      <c r="AL23">
        <v>4</v>
      </c>
      <c r="AM23">
        <v>540.41</v>
      </c>
      <c r="AN23" t="str">
        <v>989 Main St</v>
      </c>
      <c r="AO23" t="str">
        <v>Credit Card</v>
      </c>
      <c r="AP23" t="str">
        <v>Cancelled</v>
      </c>
      <c r="AQ23" t="str">
        <v>TRK75112172</v>
      </c>
      <c r="AR23">
        <v>6</v>
      </c>
      <c r="AS23">
        <v>0</v>
      </c>
      <c r="AT23" t="str">
        <v>Referral</v>
      </c>
      <c r="AU23">
        <v>2161.64</v>
      </c>
    </row>
    <row r="24" spans="1:47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AH24" t="str">
        <v>ORD200086</v>
      </c>
      <c r="AI24">
        <v>45462</v>
      </c>
      <c r="AJ24" t="str">
        <v>C88205</v>
      </c>
      <c r="AK24" t="str">
        <v>Printer</v>
      </c>
      <c r="AL24">
        <v>5</v>
      </c>
      <c r="AM24">
        <v>643.03</v>
      </c>
      <c r="AN24" t="str">
        <v>447 Main St</v>
      </c>
      <c r="AO24" t="str">
        <v>Online</v>
      </c>
      <c r="AP24" t="str">
        <v>Cancelled</v>
      </c>
      <c r="AQ24" t="str">
        <v>TRK93504166</v>
      </c>
      <c r="AR24">
        <v>5</v>
      </c>
      <c r="AS24" t="str">
        <v>FREESHIP</v>
      </c>
      <c r="AT24" t="str">
        <v>Referral</v>
      </c>
      <c r="AU24">
        <v>3215.15</v>
      </c>
    </row>
    <row r="25" spans="1:47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AH25" t="str">
        <v>ORD200088</v>
      </c>
      <c r="AI25">
        <v>45813</v>
      </c>
      <c r="AJ25" t="str">
        <v>C75439</v>
      </c>
      <c r="AK25" t="str">
        <v>Desk</v>
      </c>
      <c r="AL25">
        <v>3</v>
      </c>
      <c r="AM25">
        <v>114.81</v>
      </c>
      <c r="AN25" t="str">
        <v>318 Main St</v>
      </c>
      <c r="AO25" t="str">
        <v>Gift Card</v>
      </c>
      <c r="AP25" t="str">
        <v>Cancelled</v>
      </c>
      <c r="AQ25" t="str">
        <v>TRK19831653</v>
      </c>
      <c r="AR25">
        <v>7</v>
      </c>
      <c r="AS25">
        <v>0</v>
      </c>
      <c r="AT25" t="str">
        <v>Google</v>
      </c>
      <c r="AU25">
        <v>344.43</v>
      </c>
    </row>
    <row r="26" spans="1:47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AH26" t="str">
        <v>ORD200089</v>
      </c>
      <c r="AI26">
        <v>45713</v>
      </c>
      <c r="AJ26" t="str">
        <v>C17181</v>
      </c>
      <c r="AK26" t="str">
        <v>Printer</v>
      </c>
      <c r="AL26">
        <v>5</v>
      </c>
      <c r="AM26">
        <v>455.33</v>
      </c>
      <c r="AN26" t="str">
        <v>291 Main St</v>
      </c>
      <c r="AO26" t="str">
        <v>Credit Card</v>
      </c>
      <c r="AP26" t="str">
        <v>Cancelled</v>
      </c>
      <c r="AQ26" t="str">
        <v>TRK78912978</v>
      </c>
      <c r="AR26">
        <v>8</v>
      </c>
      <c r="AS26" t="str">
        <v>FREESHIP</v>
      </c>
      <c r="AT26" t="str">
        <v>Google</v>
      </c>
      <c r="AU26">
        <v>2276.65</v>
      </c>
    </row>
    <row r="27" spans="1:47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AH27" t="str">
        <v>ORD200099</v>
      </c>
      <c r="AI27">
        <v>45759</v>
      </c>
      <c r="AJ27" t="str">
        <v>C30477</v>
      </c>
      <c r="AK27" t="str">
        <v>Printer</v>
      </c>
      <c r="AL27">
        <v>1</v>
      </c>
      <c r="AM27">
        <v>201.58</v>
      </c>
      <c r="AN27" t="str">
        <v>717 Main St</v>
      </c>
      <c r="AO27" t="str">
        <v>Debit Card</v>
      </c>
      <c r="AP27" t="str">
        <v>Cancelled</v>
      </c>
      <c r="AQ27" t="str">
        <v>TRK51829648</v>
      </c>
      <c r="AR27">
        <v>2</v>
      </c>
      <c r="AS27" t="str">
        <v>WINTER15</v>
      </c>
      <c r="AT27" t="str">
        <v>Email</v>
      </c>
      <c r="AU27">
        <v>201.58</v>
      </c>
    </row>
    <row r="28" spans="1:47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  <c r="AH28" t="str">
        <v>ORD200102</v>
      </c>
      <c r="AI28">
        <v>44993</v>
      </c>
      <c r="AJ28" t="str">
        <v>C18037</v>
      </c>
      <c r="AK28" t="str">
        <v>Laptop</v>
      </c>
      <c r="AL28">
        <v>2</v>
      </c>
      <c r="AM28">
        <v>70.34</v>
      </c>
      <c r="AN28" t="str">
        <v>944 Main St</v>
      </c>
      <c r="AO28" t="str">
        <v>Gift Card</v>
      </c>
      <c r="AP28" t="str">
        <v>Cancelled</v>
      </c>
      <c r="AQ28" t="str">
        <v>TRK47362236</v>
      </c>
      <c r="AR28">
        <v>3</v>
      </c>
      <c r="AS28" t="str">
        <v>FREESHIP</v>
      </c>
      <c r="AT28" t="str">
        <v>Email</v>
      </c>
      <c r="AU28">
        <v>140.68</v>
      </c>
    </row>
    <row r="29" spans="1:47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AH29" t="str">
        <v>ORD200103</v>
      </c>
      <c r="AI29">
        <v>45682</v>
      </c>
      <c r="AJ29" t="str">
        <v>C62656</v>
      </c>
      <c r="AK29" t="str">
        <v>Phone</v>
      </c>
      <c r="AL29">
        <v>4</v>
      </c>
      <c r="AM29">
        <v>218.43</v>
      </c>
      <c r="AN29" t="str">
        <v>514 Main St</v>
      </c>
      <c r="AO29" t="str">
        <v>Credit Card</v>
      </c>
      <c r="AP29" t="str">
        <v>Cancelled</v>
      </c>
      <c r="AQ29" t="str">
        <v>TRK86296459</v>
      </c>
      <c r="AR29">
        <v>9</v>
      </c>
      <c r="AS29" t="str">
        <v>SAVE10</v>
      </c>
      <c r="AT29" t="str">
        <v>Email</v>
      </c>
      <c r="AU29">
        <v>873.72</v>
      </c>
    </row>
    <row r="30" spans="1:47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  <c r="AH30" t="str">
        <v>ORD200105</v>
      </c>
      <c r="AI30">
        <v>45589</v>
      </c>
      <c r="AJ30" t="str">
        <v>C72290</v>
      </c>
      <c r="AK30" t="str">
        <v>Printer</v>
      </c>
      <c r="AL30">
        <v>3</v>
      </c>
      <c r="AM30">
        <v>185.4</v>
      </c>
      <c r="AN30" t="str">
        <v>810 Main St</v>
      </c>
      <c r="AO30" t="str">
        <v>Gift Card</v>
      </c>
      <c r="AP30" t="str">
        <v>Cancelled</v>
      </c>
      <c r="AQ30" t="str">
        <v>TRK68792129</v>
      </c>
      <c r="AR30">
        <v>7</v>
      </c>
      <c r="AS30">
        <v>0</v>
      </c>
      <c r="AT30" t="str">
        <v>Facebook</v>
      </c>
      <c r="AU30">
        <v>556.20000000000005</v>
      </c>
    </row>
    <row r="31" spans="1:47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AH31" t="str">
        <v>ORD200106</v>
      </c>
      <c r="AI31">
        <v>45177</v>
      </c>
      <c r="AJ31" t="str">
        <v>C73514</v>
      </c>
      <c r="AK31" t="str">
        <v>Desk</v>
      </c>
      <c r="AL31">
        <v>3</v>
      </c>
      <c r="AM31">
        <v>465.05</v>
      </c>
      <c r="AN31" t="str">
        <v>126 Main St</v>
      </c>
      <c r="AO31" t="str">
        <v>Credit Card</v>
      </c>
      <c r="AP31" t="str">
        <v>Cancelled</v>
      </c>
      <c r="AQ31" t="str">
        <v>TRK96777924</v>
      </c>
      <c r="AR31">
        <v>3</v>
      </c>
      <c r="AS31" t="str">
        <v>SAVE10</v>
      </c>
      <c r="AT31" t="str">
        <v>Email</v>
      </c>
      <c r="AU31">
        <v>1395.15</v>
      </c>
    </row>
    <row r="32" spans="1:47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AH32" t="str">
        <v>ORD200111</v>
      </c>
      <c r="AI32">
        <v>45784</v>
      </c>
      <c r="AJ32" t="str">
        <v>C95271</v>
      </c>
      <c r="AK32" t="str">
        <v>Desk</v>
      </c>
      <c r="AL32">
        <v>3</v>
      </c>
      <c r="AM32">
        <v>309.22000000000003</v>
      </c>
      <c r="AN32" t="str">
        <v>620 Main St</v>
      </c>
      <c r="AO32" t="str">
        <v>Online</v>
      </c>
      <c r="AP32" t="str">
        <v>Cancelled</v>
      </c>
      <c r="AQ32" t="str">
        <v>TRK74904969</v>
      </c>
      <c r="AR32">
        <v>7</v>
      </c>
      <c r="AS32" t="str">
        <v>FREESHIP</v>
      </c>
      <c r="AT32" t="str">
        <v>Google</v>
      </c>
      <c r="AU32">
        <v>927.66000000000008</v>
      </c>
    </row>
    <row r="33" spans="1:47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  <c r="AH33" t="str">
        <v>ORD200112</v>
      </c>
      <c r="AI33">
        <v>44927</v>
      </c>
      <c r="AJ33" t="str">
        <v>C81366</v>
      </c>
      <c r="AK33" t="str">
        <v>Monitor</v>
      </c>
      <c r="AL33">
        <v>1</v>
      </c>
      <c r="AM33">
        <v>410.6</v>
      </c>
      <c r="AN33" t="str">
        <v>423 Main St</v>
      </c>
      <c r="AO33" t="str">
        <v>Online</v>
      </c>
      <c r="AP33" t="str">
        <v>Cancelled</v>
      </c>
      <c r="AQ33" t="str">
        <v>TRK17062206</v>
      </c>
      <c r="AR33">
        <v>2</v>
      </c>
      <c r="AS33" t="str">
        <v>WINTER15</v>
      </c>
      <c r="AT33" t="str">
        <v>Referral</v>
      </c>
      <c r="AU33">
        <v>410.6</v>
      </c>
    </row>
    <row r="34" spans="1:47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  <c r="AH34" t="str">
        <v>ORD200116</v>
      </c>
      <c r="AI34">
        <v>45004</v>
      </c>
      <c r="AJ34" t="str">
        <v>C47761</v>
      </c>
      <c r="AK34" t="str">
        <v>Printer</v>
      </c>
      <c r="AL34">
        <v>4</v>
      </c>
      <c r="AM34">
        <v>291.35000000000002</v>
      </c>
      <c r="AN34" t="str">
        <v>109 Main St</v>
      </c>
      <c r="AO34" t="str">
        <v>Credit Card</v>
      </c>
      <c r="AP34" t="str">
        <v>Cancelled</v>
      </c>
      <c r="AQ34" t="str">
        <v>TRK66669207</v>
      </c>
      <c r="AR34">
        <v>6</v>
      </c>
      <c r="AS34" t="str">
        <v>WINTER15</v>
      </c>
      <c r="AT34" t="str">
        <v>Facebook</v>
      </c>
      <c r="AU34">
        <v>1165.4000000000001</v>
      </c>
    </row>
    <row r="35" spans="1:47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AH35" t="str">
        <v>ORD200117</v>
      </c>
      <c r="AI35">
        <v>44993</v>
      </c>
      <c r="AJ35" t="str">
        <v>C49187</v>
      </c>
      <c r="AK35" t="str">
        <v>Tablet</v>
      </c>
      <c r="AL35">
        <v>1</v>
      </c>
      <c r="AM35">
        <v>535.5</v>
      </c>
      <c r="AN35" t="str">
        <v>593 Main St</v>
      </c>
      <c r="AO35" t="str">
        <v>Gift Card</v>
      </c>
      <c r="AP35" t="str">
        <v>Cancelled</v>
      </c>
      <c r="AQ35" t="str">
        <v>TRK81888598</v>
      </c>
      <c r="AR35">
        <v>5</v>
      </c>
      <c r="AS35" t="str">
        <v>WINTER15</v>
      </c>
      <c r="AT35" t="str">
        <v>Referral</v>
      </c>
      <c r="AU35">
        <v>535.5</v>
      </c>
    </row>
    <row r="36" spans="1:47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AH36" t="str">
        <v>ORD200120</v>
      </c>
      <c r="AI36">
        <v>45027</v>
      </c>
      <c r="AJ36" t="str">
        <v>C58108</v>
      </c>
      <c r="AK36" t="str">
        <v>Tablet</v>
      </c>
      <c r="AL36">
        <v>4</v>
      </c>
      <c r="AM36">
        <v>629.34</v>
      </c>
      <c r="AN36" t="str">
        <v>986 Main St</v>
      </c>
      <c r="AO36" t="str">
        <v>Cash</v>
      </c>
      <c r="AP36" t="str">
        <v>Cancelled</v>
      </c>
      <c r="AQ36" t="str">
        <v>TRK66218053</v>
      </c>
      <c r="AR36">
        <v>4</v>
      </c>
      <c r="AS36" t="str">
        <v>WINTER15</v>
      </c>
      <c r="AT36" t="str">
        <v>Instagram</v>
      </c>
      <c r="AU36">
        <v>2517.36</v>
      </c>
    </row>
    <row r="37" spans="1:47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AH37" t="str">
        <v>ORD200121</v>
      </c>
      <c r="AI37">
        <v>45260</v>
      </c>
      <c r="AJ37" t="str">
        <v>C89822</v>
      </c>
      <c r="AK37" t="str">
        <v>Desk</v>
      </c>
      <c r="AL37">
        <v>1</v>
      </c>
      <c r="AM37">
        <v>410.78</v>
      </c>
      <c r="AN37" t="str">
        <v>673 Main St</v>
      </c>
      <c r="AO37" t="str">
        <v>Cash</v>
      </c>
      <c r="AP37" t="str">
        <v>Cancelled</v>
      </c>
      <c r="AQ37" t="str">
        <v>TRK24138598</v>
      </c>
      <c r="AR37">
        <v>1</v>
      </c>
      <c r="AS37" t="str">
        <v>FREESHIP</v>
      </c>
      <c r="AT37" t="str">
        <v>Instagram</v>
      </c>
      <c r="AU37">
        <v>410.78</v>
      </c>
    </row>
    <row r="38" spans="1:47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  <c r="AH38" t="str">
        <v>ORD200130</v>
      </c>
      <c r="AI38">
        <v>45679</v>
      </c>
      <c r="AJ38" t="str">
        <v>C29059</v>
      </c>
      <c r="AK38" t="str">
        <v>Desk</v>
      </c>
      <c r="AL38">
        <v>3</v>
      </c>
      <c r="AM38">
        <v>501.3</v>
      </c>
      <c r="AN38" t="str">
        <v>513 Main St</v>
      </c>
      <c r="AO38" t="str">
        <v>Online</v>
      </c>
      <c r="AP38" t="str">
        <v>Cancelled</v>
      </c>
      <c r="AQ38" t="str">
        <v>TRK88360704</v>
      </c>
      <c r="AR38">
        <v>3</v>
      </c>
      <c r="AS38" t="str">
        <v>WINTER15</v>
      </c>
      <c r="AT38" t="str">
        <v>Facebook</v>
      </c>
      <c r="AU38">
        <v>1503.9</v>
      </c>
    </row>
    <row r="39" spans="1:47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AH39" t="str">
        <v>ORD200133</v>
      </c>
      <c r="AI39">
        <v>45828</v>
      </c>
      <c r="AJ39" t="str">
        <v>C87432</v>
      </c>
      <c r="AK39" t="str">
        <v>Chair</v>
      </c>
      <c r="AL39">
        <v>4</v>
      </c>
      <c r="AM39">
        <v>302.05</v>
      </c>
      <c r="AN39" t="str">
        <v>636 Main St</v>
      </c>
      <c r="AO39" t="str">
        <v>Debit Card</v>
      </c>
      <c r="AP39" t="str">
        <v>Cancelled</v>
      </c>
      <c r="AQ39" t="str">
        <v>TRK68969625</v>
      </c>
      <c r="AR39">
        <v>6</v>
      </c>
      <c r="AS39" t="str">
        <v>SAVE10</v>
      </c>
      <c r="AT39" t="str">
        <v>Google</v>
      </c>
      <c r="AU39">
        <v>1208.2</v>
      </c>
    </row>
    <row r="40" spans="1:47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AH40" t="str">
        <v>ORD200136</v>
      </c>
      <c r="AI40">
        <v>45409</v>
      </c>
      <c r="AJ40" t="str">
        <v>C73370</v>
      </c>
      <c r="AK40" t="str">
        <v>Laptop</v>
      </c>
      <c r="AL40">
        <v>1</v>
      </c>
      <c r="AM40">
        <v>44.35</v>
      </c>
      <c r="AN40" t="str">
        <v>595 Main St</v>
      </c>
      <c r="AO40" t="str">
        <v>Gift Card</v>
      </c>
      <c r="AP40" t="str">
        <v>Cancelled</v>
      </c>
      <c r="AQ40" t="str">
        <v>TRK67820278</v>
      </c>
      <c r="AR40">
        <v>1</v>
      </c>
      <c r="AS40" t="str">
        <v>SAVE10</v>
      </c>
      <c r="AT40" t="str">
        <v>Instagram</v>
      </c>
      <c r="AU40">
        <v>44.35</v>
      </c>
    </row>
    <row r="41" spans="1:47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AH41" t="str">
        <v>ORD200141</v>
      </c>
      <c r="AI41">
        <v>45248</v>
      </c>
      <c r="AJ41" t="str">
        <v>C80004</v>
      </c>
      <c r="AK41" t="str">
        <v>Printer</v>
      </c>
      <c r="AL41">
        <v>3</v>
      </c>
      <c r="AM41">
        <v>684.14</v>
      </c>
      <c r="AN41" t="str">
        <v>151 Main St</v>
      </c>
      <c r="AO41" t="str">
        <v>Cash</v>
      </c>
      <c r="AP41" t="str">
        <v>Cancelled</v>
      </c>
      <c r="AQ41" t="str">
        <v>TRK66230753</v>
      </c>
      <c r="AR41">
        <v>3</v>
      </c>
      <c r="AS41" t="str">
        <v>WINTER15</v>
      </c>
      <c r="AT41" t="str">
        <v>Instagram</v>
      </c>
      <c r="AU41">
        <v>2052.42</v>
      </c>
    </row>
    <row r="42" spans="1:47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AH42" t="str">
        <v>ORD200147</v>
      </c>
      <c r="AI42">
        <v>45783</v>
      </c>
      <c r="AJ42" t="str">
        <v>C46316</v>
      </c>
      <c r="AK42" t="str">
        <v>Laptop</v>
      </c>
      <c r="AL42">
        <v>2</v>
      </c>
      <c r="AM42">
        <v>465.18</v>
      </c>
      <c r="AN42" t="str">
        <v>893 Main St</v>
      </c>
      <c r="AO42" t="str">
        <v>Credit Card</v>
      </c>
      <c r="AP42" t="str">
        <v>Cancelled</v>
      </c>
      <c r="AQ42" t="str">
        <v>TRK16196000</v>
      </c>
      <c r="AR42">
        <v>2</v>
      </c>
      <c r="AS42" t="str">
        <v>SAVE10</v>
      </c>
      <c r="AT42" t="str">
        <v>Google</v>
      </c>
      <c r="AU42">
        <v>930.36</v>
      </c>
    </row>
    <row r="43" spans="1:47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AH43" t="str">
        <v>ORD200148</v>
      </c>
      <c r="AI43">
        <v>45641</v>
      </c>
      <c r="AJ43" t="str">
        <v>C35100</v>
      </c>
      <c r="AK43" t="str">
        <v>Phone</v>
      </c>
      <c r="AL43">
        <v>2</v>
      </c>
      <c r="AM43">
        <v>319.91000000000003</v>
      </c>
      <c r="AN43" t="str">
        <v>139 Main St</v>
      </c>
      <c r="AO43" t="str">
        <v>Credit Card</v>
      </c>
      <c r="AP43" t="str">
        <v>Cancelled</v>
      </c>
      <c r="AQ43" t="str">
        <v>TRK56853491</v>
      </c>
      <c r="AR43">
        <v>3</v>
      </c>
      <c r="AS43" t="str">
        <v>WINTER15</v>
      </c>
      <c r="AT43" t="str">
        <v>Google</v>
      </c>
      <c r="AU43">
        <v>639.82000000000005</v>
      </c>
    </row>
    <row r="44" spans="1:47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  <c r="AH44" t="str">
        <v>ORD200152</v>
      </c>
      <c r="AI44">
        <v>45659</v>
      </c>
      <c r="AJ44" t="str">
        <v>C77736</v>
      </c>
      <c r="AK44" t="str">
        <v>Chair</v>
      </c>
      <c r="AL44">
        <v>2</v>
      </c>
      <c r="AM44">
        <v>399.04</v>
      </c>
      <c r="AN44" t="str">
        <v>659 Main St</v>
      </c>
      <c r="AO44" t="str">
        <v>Cash</v>
      </c>
      <c r="AP44" t="str">
        <v>Cancelled</v>
      </c>
      <c r="AQ44" t="str">
        <v>TRK90329250</v>
      </c>
      <c r="AR44">
        <v>3</v>
      </c>
      <c r="AS44" t="str">
        <v>FREESHIP</v>
      </c>
      <c r="AT44" t="str">
        <v>Referral</v>
      </c>
      <c r="AU44">
        <v>798.08</v>
      </c>
    </row>
    <row r="45" spans="1:47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  <c r="AH45" t="str">
        <v>ORD200159</v>
      </c>
      <c r="AI45">
        <v>45230</v>
      </c>
      <c r="AJ45" t="str">
        <v>C48965</v>
      </c>
      <c r="AK45" t="str">
        <v>Printer</v>
      </c>
      <c r="AL45">
        <v>1</v>
      </c>
      <c r="AM45">
        <v>299.35000000000002</v>
      </c>
      <c r="AN45" t="str">
        <v>819 Main St</v>
      </c>
      <c r="AO45" t="str">
        <v>Credit Card</v>
      </c>
      <c r="AP45" t="str">
        <v>Cancelled</v>
      </c>
      <c r="AQ45" t="str">
        <v>TRK50921780</v>
      </c>
      <c r="AR45">
        <v>5</v>
      </c>
      <c r="AS45" t="str">
        <v>WINTER15</v>
      </c>
      <c r="AT45" t="str">
        <v>Email</v>
      </c>
      <c r="AU45">
        <v>299.35000000000002</v>
      </c>
    </row>
    <row r="46" spans="1:47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AH46" t="str">
        <v>ORD200161</v>
      </c>
      <c r="AI46">
        <v>45380</v>
      </c>
      <c r="AJ46" t="str">
        <v>C35091</v>
      </c>
      <c r="AK46" t="str">
        <v>Monitor</v>
      </c>
      <c r="AL46">
        <v>1</v>
      </c>
      <c r="AM46">
        <v>211.14</v>
      </c>
      <c r="AN46" t="str">
        <v>513 Main St</v>
      </c>
      <c r="AO46" t="str">
        <v>Credit Card</v>
      </c>
      <c r="AP46" t="str">
        <v>Cancelled</v>
      </c>
      <c r="AQ46" t="str">
        <v>TRK53784452</v>
      </c>
      <c r="AR46">
        <v>1</v>
      </c>
      <c r="AS46" t="str">
        <v>SAVE10</v>
      </c>
      <c r="AT46" t="str">
        <v>Facebook</v>
      </c>
      <c r="AU46">
        <v>211.14</v>
      </c>
    </row>
    <row r="47" spans="1:47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AH47" t="str">
        <v>ORD200163</v>
      </c>
      <c r="AI47">
        <v>45832</v>
      </c>
      <c r="AJ47" t="str">
        <v>C99589</v>
      </c>
      <c r="AK47" t="str">
        <v>Tablet</v>
      </c>
      <c r="AL47">
        <v>1</v>
      </c>
      <c r="AM47">
        <v>641.39</v>
      </c>
      <c r="AN47" t="str">
        <v>277 Main St</v>
      </c>
      <c r="AO47" t="str">
        <v>Online</v>
      </c>
      <c r="AP47" t="str">
        <v>Cancelled</v>
      </c>
      <c r="AQ47" t="str">
        <v>TRK16695001</v>
      </c>
      <c r="AR47">
        <v>1</v>
      </c>
      <c r="AS47">
        <v>0</v>
      </c>
      <c r="AT47" t="str">
        <v>Referral</v>
      </c>
      <c r="AU47">
        <v>641.39</v>
      </c>
    </row>
    <row r="48" spans="1:47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AH48" t="str">
        <v>ORD200170</v>
      </c>
      <c r="AI48">
        <v>45751</v>
      </c>
      <c r="AJ48" t="str">
        <v>C80223</v>
      </c>
      <c r="AK48" t="str">
        <v>Desk</v>
      </c>
      <c r="AL48">
        <v>4</v>
      </c>
      <c r="AM48">
        <v>662.94</v>
      </c>
      <c r="AN48" t="str">
        <v>535 Main St</v>
      </c>
      <c r="AO48" t="str">
        <v>Cash</v>
      </c>
      <c r="AP48" t="str">
        <v>Cancelled</v>
      </c>
      <c r="AQ48" t="str">
        <v>TRK68632951</v>
      </c>
      <c r="AR48">
        <v>8</v>
      </c>
      <c r="AS48" t="str">
        <v>SAVE10</v>
      </c>
      <c r="AT48" t="str">
        <v>Instagram</v>
      </c>
      <c r="AU48">
        <v>2651.76</v>
      </c>
    </row>
    <row r="49" spans="1:47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AH49" t="str">
        <v>ORD200184</v>
      </c>
      <c r="AI49">
        <v>45386</v>
      </c>
      <c r="AJ49" t="str">
        <v>C65180</v>
      </c>
      <c r="AK49" t="str">
        <v>Tablet</v>
      </c>
      <c r="AL49">
        <v>4</v>
      </c>
      <c r="AM49">
        <v>214.54</v>
      </c>
      <c r="AN49" t="str">
        <v>231 Main St</v>
      </c>
      <c r="AO49" t="str">
        <v>Gift Card</v>
      </c>
      <c r="AP49" t="str">
        <v>Cancelled</v>
      </c>
      <c r="AQ49" t="str">
        <v>TRK39255469</v>
      </c>
      <c r="AR49">
        <v>7</v>
      </c>
      <c r="AS49">
        <v>0</v>
      </c>
      <c r="AT49" t="str">
        <v>Referral</v>
      </c>
      <c r="AU49">
        <v>858.16</v>
      </c>
    </row>
    <row r="50" spans="1:47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  <c r="AH50" t="str">
        <v>ORD200189</v>
      </c>
      <c r="AI50">
        <v>45112</v>
      </c>
      <c r="AJ50" t="str">
        <v>C48939</v>
      </c>
      <c r="AK50" t="str">
        <v>Printer</v>
      </c>
      <c r="AL50">
        <v>5</v>
      </c>
      <c r="AM50">
        <v>429.45</v>
      </c>
      <c r="AN50" t="str">
        <v>597 Main St</v>
      </c>
      <c r="AO50" t="str">
        <v>Gift Card</v>
      </c>
      <c r="AP50" t="str">
        <v>Cancelled</v>
      </c>
      <c r="AQ50" t="str">
        <v>TRK62786764</v>
      </c>
      <c r="AR50">
        <v>5</v>
      </c>
      <c r="AS50" t="str">
        <v>WINTER15</v>
      </c>
      <c r="AT50" t="str">
        <v>Email</v>
      </c>
      <c r="AU50">
        <v>2147.25</v>
      </c>
    </row>
    <row r="51" spans="1:47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AH51" t="str">
        <v>ORD200191</v>
      </c>
      <c r="AI51">
        <v>45724</v>
      </c>
      <c r="AJ51" t="str">
        <v>C51494</v>
      </c>
      <c r="AK51" t="str">
        <v>Laptop</v>
      </c>
      <c r="AL51">
        <v>2</v>
      </c>
      <c r="AM51">
        <v>488.87</v>
      </c>
      <c r="AN51" t="str">
        <v>505 Main St</v>
      </c>
      <c r="AO51" t="str">
        <v>Online</v>
      </c>
      <c r="AP51" t="str">
        <v>Cancelled</v>
      </c>
      <c r="AQ51" t="str">
        <v>TRK58520306</v>
      </c>
      <c r="AR51">
        <v>4</v>
      </c>
      <c r="AS51" t="str">
        <v>FREESHIP</v>
      </c>
      <c r="AT51" t="str">
        <v>Google</v>
      </c>
      <c r="AU51">
        <v>977.74</v>
      </c>
    </row>
    <row r="52" spans="1:47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AH52" t="str">
        <v>ORD200192</v>
      </c>
      <c r="AI52">
        <v>45149</v>
      </c>
      <c r="AJ52" t="str">
        <v>C58410</v>
      </c>
      <c r="AK52" t="str">
        <v>Desk</v>
      </c>
      <c r="AL52">
        <v>1</v>
      </c>
      <c r="AM52">
        <v>645.46</v>
      </c>
      <c r="AN52" t="str">
        <v>151 Main St</v>
      </c>
      <c r="AO52" t="str">
        <v>Gift Card</v>
      </c>
      <c r="AP52" t="str">
        <v>Cancelled</v>
      </c>
      <c r="AQ52" t="str">
        <v>TRK19749672</v>
      </c>
      <c r="AR52">
        <v>5</v>
      </c>
      <c r="AS52" t="str">
        <v>SAVE10</v>
      </c>
      <c r="AT52" t="str">
        <v>Google</v>
      </c>
      <c r="AU52">
        <v>645.46</v>
      </c>
    </row>
    <row r="53" spans="1:47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AH53" t="str">
        <v>ORD200193</v>
      </c>
      <c r="AI53">
        <v>45128</v>
      </c>
      <c r="AJ53" t="str">
        <v>C11644</v>
      </c>
      <c r="AK53" t="str">
        <v>Printer</v>
      </c>
      <c r="AL53">
        <v>1</v>
      </c>
      <c r="AM53">
        <v>46.66</v>
      </c>
      <c r="AN53" t="str">
        <v>429 Main St</v>
      </c>
      <c r="AO53" t="str">
        <v>Cash</v>
      </c>
      <c r="AP53" t="str">
        <v>Cancelled</v>
      </c>
      <c r="AQ53" t="str">
        <v>TRK81320339</v>
      </c>
      <c r="AR53">
        <v>6</v>
      </c>
      <c r="AS53">
        <v>0</v>
      </c>
      <c r="AT53" t="str">
        <v>Google</v>
      </c>
      <c r="AU53">
        <v>46.66</v>
      </c>
    </row>
    <row r="54" spans="1:47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AH54" t="str">
        <v>ORD200195</v>
      </c>
      <c r="AI54">
        <v>45404</v>
      </c>
      <c r="AJ54" t="str">
        <v>C63619</v>
      </c>
      <c r="AK54" t="str">
        <v>Chair</v>
      </c>
      <c r="AL54">
        <v>3</v>
      </c>
      <c r="AM54">
        <v>619.21</v>
      </c>
      <c r="AN54" t="str">
        <v>801 Main St</v>
      </c>
      <c r="AO54" t="str">
        <v>Debit Card</v>
      </c>
      <c r="AP54" t="str">
        <v>Cancelled</v>
      </c>
      <c r="AQ54" t="str">
        <v>TRK65385674</v>
      </c>
      <c r="AR54">
        <v>6</v>
      </c>
      <c r="AS54">
        <v>0</v>
      </c>
      <c r="AT54" t="str">
        <v>Email</v>
      </c>
      <c r="AU54">
        <v>1857.63</v>
      </c>
    </row>
    <row r="55" spans="1:47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AH55" t="str">
        <v>ORD200198</v>
      </c>
      <c r="AI55">
        <v>45454</v>
      </c>
      <c r="AJ55" t="str">
        <v>C37594</v>
      </c>
      <c r="AK55" t="str">
        <v>Laptop</v>
      </c>
      <c r="AL55">
        <v>4</v>
      </c>
      <c r="AM55">
        <v>340.3</v>
      </c>
      <c r="AN55" t="str">
        <v>926 Main St</v>
      </c>
      <c r="AO55" t="str">
        <v>Cash</v>
      </c>
      <c r="AP55" t="str">
        <v>Cancelled</v>
      </c>
      <c r="AQ55" t="str">
        <v>TRK94405162</v>
      </c>
      <c r="AR55">
        <v>8</v>
      </c>
      <c r="AS55" t="str">
        <v>SAVE10</v>
      </c>
      <c r="AT55" t="str">
        <v>Referral</v>
      </c>
      <c r="AU55">
        <v>1361.2</v>
      </c>
    </row>
    <row r="56" spans="1:47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AH56" t="str">
        <v>ORD200202</v>
      </c>
      <c r="AI56">
        <v>45694</v>
      </c>
      <c r="AJ56" t="str">
        <v>C36938</v>
      </c>
      <c r="AK56" t="str">
        <v>Monitor</v>
      </c>
      <c r="AL56">
        <v>3</v>
      </c>
      <c r="AM56">
        <v>253.98</v>
      </c>
      <c r="AN56" t="str">
        <v>636 Main St</v>
      </c>
      <c r="AO56" t="str">
        <v>Credit Card</v>
      </c>
      <c r="AP56" t="str">
        <v>Cancelled</v>
      </c>
      <c r="AQ56" t="str">
        <v>TRK52522904</v>
      </c>
      <c r="AR56">
        <v>3</v>
      </c>
      <c r="AS56" t="str">
        <v>FREESHIP</v>
      </c>
      <c r="AT56" t="str">
        <v>Email</v>
      </c>
      <c r="AU56">
        <v>761.93999999999994</v>
      </c>
    </row>
    <row r="57" spans="1:47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  <c r="AH57" t="str">
        <v>ORD200204</v>
      </c>
      <c r="AI57">
        <v>45174</v>
      </c>
      <c r="AJ57" t="str">
        <v>C99775</v>
      </c>
      <c r="AK57" t="str">
        <v>Laptop</v>
      </c>
      <c r="AL57">
        <v>4</v>
      </c>
      <c r="AM57">
        <v>413.71</v>
      </c>
      <c r="AN57" t="str">
        <v>478 Main St</v>
      </c>
      <c r="AO57" t="str">
        <v>Gift Card</v>
      </c>
      <c r="AP57" t="str">
        <v>Cancelled</v>
      </c>
      <c r="AQ57" t="str">
        <v>TRK21638425</v>
      </c>
      <c r="AR57">
        <v>9</v>
      </c>
      <c r="AS57" t="str">
        <v>FREESHIP</v>
      </c>
      <c r="AT57" t="str">
        <v>Facebook</v>
      </c>
      <c r="AU57">
        <v>1654.84</v>
      </c>
    </row>
    <row r="58" spans="1:47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AH58" t="str">
        <v>ORD200212</v>
      </c>
      <c r="AI58">
        <v>45097</v>
      </c>
      <c r="AJ58" t="str">
        <v>C53215</v>
      </c>
      <c r="AK58" t="str">
        <v>Monitor</v>
      </c>
      <c r="AL58">
        <v>1</v>
      </c>
      <c r="AM58">
        <v>265.38</v>
      </c>
      <c r="AN58" t="str">
        <v>367 Main St</v>
      </c>
      <c r="AO58" t="str">
        <v>Credit Card</v>
      </c>
      <c r="AP58" t="str">
        <v>Cancelled</v>
      </c>
      <c r="AQ58" t="str">
        <v>TRK34751835</v>
      </c>
      <c r="AR58">
        <v>6</v>
      </c>
      <c r="AS58" t="str">
        <v>WINTER15</v>
      </c>
      <c r="AT58" t="str">
        <v>Email</v>
      </c>
      <c r="AU58">
        <v>265.38</v>
      </c>
    </row>
    <row r="59" spans="1:47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AH59" t="str">
        <v>ORD200213</v>
      </c>
      <c r="AI59">
        <v>45036</v>
      </c>
      <c r="AJ59" t="str">
        <v>C71122</v>
      </c>
      <c r="AK59" t="str">
        <v>Laptop</v>
      </c>
      <c r="AL59">
        <v>1</v>
      </c>
      <c r="AM59">
        <v>634.4</v>
      </c>
      <c r="AN59" t="str">
        <v>317 Main St</v>
      </c>
      <c r="AO59" t="str">
        <v>Cash</v>
      </c>
      <c r="AP59" t="str">
        <v>Cancelled</v>
      </c>
      <c r="AQ59" t="str">
        <v>TRK54757882</v>
      </c>
      <c r="AR59">
        <v>6</v>
      </c>
      <c r="AS59" t="str">
        <v>SAVE10</v>
      </c>
      <c r="AT59" t="str">
        <v>Email</v>
      </c>
      <c r="AU59">
        <v>634.4</v>
      </c>
    </row>
    <row r="60" spans="1:47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AH60" t="str">
        <v>ORD200216</v>
      </c>
      <c r="AI60">
        <v>45762</v>
      </c>
      <c r="AJ60" t="str">
        <v>C70492</v>
      </c>
      <c r="AK60" t="str">
        <v>Monitor</v>
      </c>
      <c r="AL60">
        <v>4</v>
      </c>
      <c r="AM60">
        <v>496</v>
      </c>
      <c r="AN60" t="str">
        <v>811 Main St</v>
      </c>
      <c r="AO60" t="str">
        <v>Online</v>
      </c>
      <c r="AP60" t="str">
        <v>Cancelled</v>
      </c>
      <c r="AQ60" t="str">
        <v>TRK84625405</v>
      </c>
      <c r="AR60">
        <v>8</v>
      </c>
      <c r="AS60" t="str">
        <v>WINTER15</v>
      </c>
      <c r="AT60" t="str">
        <v>Google</v>
      </c>
      <c r="AU60">
        <v>1984</v>
      </c>
    </row>
    <row r="61" spans="1:47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  <c r="AH61" t="str">
        <v>ORD200224</v>
      </c>
      <c r="AI61">
        <v>45192</v>
      </c>
      <c r="AJ61" t="str">
        <v>C18567</v>
      </c>
      <c r="AK61" t="str">
        <v>Printer</v>
      </c>
      <c r="AL61">
        <v>4</v>
      </c>
      <c r="AM61">
        <v>91.46</v>
      </c>
      <c r="AN61" t="str">
        <v>507 Main St</v>
      </c>
      <c r="AO61" t="str">
        <v>Cash</v>
      </c>
      <c r="AP61" t="str">
        <v>Cancelled</v>
      </c>
      <c r="AQ61" t="str">
        <v>TRK17554673</v>
      </c>
      <c r="AR61">
        <v>9</v>
      </c>
      <c r="AS61" t="str">
        <v>SAVE10</v>
      </c>
      <c r="AT61" t="str">
        <v>Referral</v>
      </c>
      <c r="AU61">
        <v>365.84</v>
      </c>
    </row>
    <row r="62" spans="1:47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AH62" t="str">
        <v>ORD200227</v>
      </c>
      <c r="AI62">
        <v>45232</v>
      </c>
      <c r="AJ62" t="str">
        <v>C93220</v>
      </c>
      <c r="AK62" t="str">
        <v>Monitor</v>
      </c>
      <c r="AL62">
        <v>2</v>
      </c>
      <c r="AM62">
        <v>365.17</v>
      </c>
      <c r="AN62" t="str">
        <v>353 Main St</v>
      </c>
      <c r="AO62" t="str">
        <v>Online</v>
      </c>
      <c r="AP62" t="str">
        <v>Cancelled</v>
      </c>
      <c r="AQ62" t="str">
        <v>TRK89023251</v>
      </c>
      <c r="AR62">
        <v>4</v>
      </c>
      <c r="AS62" t="str">
        <v>FREESHIP</v>
      </c>
      <c r="AT62" t="str">
        <v>Facebook</v>
      </c>
      <c r="AU62">
        <v>730.34</v>
      </c>
    </row>
    <row r="63" spans="1:47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AH63" t="str">
        <v>ORD200228</v>
      </c>
      <c r="AI63">
        <v>45063</v>
      </c>
      <c r="AJ63" t="str">
        <v>C57867</v>
      </c>
      <c r="AK63" t="str">
        <v>Chair</v>
      </c>
      <c r="AL63">
        <v>4</v>
      </c>
      <c r="AM63">
        <v>385.92</v>
      </c>
      <c r="AN63" t="str">
        <v>579 Main St</v>
      </c>
      <c r="AO63" t="str">
        <v>Credit Card</v>
      </c>
      <c r="AP63" t="str">
        <v>Cancelled</v>
      </c>
      <c r="AQ63" t="str">
        <v>TRK92055007</v>
      </c>
      <c r="AR63">
        <v>8</v>
      </c>
      <c r="AS63">
        <v>0</v>
      </c>
      <c r="AT63" t="str">
        <v>Instagram</v>
      </c>
      <c r="AU63">
        <v>1543.68</v>
      </c>
    </row>
    <row r="64" spans="1:47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AH64" t="str">
        <v>ORD200232</v>
      </c>
      <c r="AI64">
        <v>45065</v>
      </c>
      <c r="AJ64" t="str">
        <v>C20731</v>
      </c>
      <c r="AK64" t="str">
        <v>Printer</v>
      </c>
      <c r="AL64">
        <v>4</v>
      </c>
      <c r="AM64">
        <v>444.44</v>
      </c>
      <c r="AN64" t="str">
        <v>610 Main St</v>
      </c>
      <c r="AO64" t="str">
        <v>Debit Card</v>
      </c>
      <c r="AP64" t="str">
        <v>Cancelled</v>
      </c>
      <c r="AQ64" t="str">
        <v>TRK75568437</v>
      </c>
      <c r="AR64">
        <v>8</v>
      </c>
      <c r="AS64" t="str">
        <v>WINTER15</v>
      </c>
      <c r="AT64" t="str">
        <v>Google</v>
      </c>
      <c r="AU64">
        <v>1777.76</v>
      </c>
    </row>
    <row r="65" spans="1:47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AH65" t="str">
        <v>ORD200233</v>
      </c>
      <c r="AI65">
        <v>45528</v>
      </c>
      <c r="AJ65" t="str">
        <v>C30168</v>
      </c>
      <c r="AK65" t="str">
        <v>Phone</v>
      </c>
      <c r="AL65">
        <v>3</v>
      </c>
      <c r="AM65">
        <v>311.33</v>
      </c>
      <c r="AN65" t="str">
        <v>146 Main St</v>
      </c>
      <c r="AO65" t="str">
        <v>Cash</v>
      </c>
      <c r="AP65" t="str">
        <v>Cancelled</v>
      </c>
      <c r="AQ65" t="str">
        <v>TRK73699939</v>
      </c>
      <c r="AR65">
        <v>3</v>
      </c>
      <c r="AS65" t="str">
        <v>WINTER15</v>
      </c>
      <c r="AT65" t="str">
        <v>Instagram</v>
      </c>
      <c r="AU65">
        <v>933.99</v>
      </c>
    </row>
    <row r="66" spans="1:47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AH66" t="str">
        <v>ORD200243</v>
      </c>
      <c r="AI66">
        <v>45786</v>
      </c>
      <c r="AJ66" t="str">
        <v>C54725</v>
      </c>
      <c r="AK66" t="str">
        <v>Chair</v>
      </c>
      <c r="AL66">
        <v>2</v>
      </c>
      <c r="AM66">
        <v>144.66</v>
      </c>
      <c r="AN66" t="str">
        <v>506 Main St</v>
      </c>
      <c r="AO66" t="str">
        <v>Online</v>
      </c>
      <c r="AP66" t="str">
        <v>Cancelled</v>
      </c>
      <c r="AQ66" t="str">
        <v>TRK30601940</v>
      </c>
      <c r="AR66">
        <v>7</v>
      </c>
      <c r="AS66" t="str">
        <v>FREESHIP</v>
      </c>
      <c r="AT66" t="str">
        <v>Google</v>
      </c>
      <c r="AU66">
        <v>289.32</v>
      </c>
    </row>
    <row r="67" spans="1:47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  <c r="AH67" t="str">
        <v>ORD200244</v>
      </c>
      <c r="AI67">
        <v>44973</v>
      </c>
      <c r="AJ67" t="str">
        <v>C98096</v>
      </c>
      <c r="AK67" t="str">
        <v>Desk</v>
      </c>
      <c r="AL67">
        <v>2</v>
      </c>
      <c r="AM67">
        <v>317.77</v>
      </c>
      <c r="AN67" t="str">
        <v>838 Main St</v>
      </c>
      <c r="AO67" t="str">
        <v>Debit Card</v>
      </c>
      <c r="AP67" t="str">
        <v>Cancelled</v>
      </c>
      <c r="AQ67" t="str">
        <v>TRK51518631</v>
      </c>
      <c r="AR67">
        <v>4</v>
      </c>
      <c r="AS67" t="str">
        <v>WINTER15</v>
      </c>
      <c r="AT67" t="str">
        <v>Facebook</v>
      </c>
      <c r="AU67">
        <v>635.54</v>
      </c>
    </row>
    <row r="68" spans="1:47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AH68" t="str">
        <v>ORD200251</v>
      </c>
      <c r="AI68">
        <v>45792</v>
      </c>
      <c r="AJ68" t="str">
        <v>C93175</v>
      </c>
      <c r="AK68" t="str">
        <v>Monitor</v>
      </c>
      <c r="AL68">
        <v>4</v>
      </c>
      <c r="AM68">
        <v>14.69</v>
      </c>
      <c r="AN68" t="str">
        <v>814 Main St</v>
      </c>
      <c r="AO68" t="str">
        <v>Cash</v>
      </c>
      <c r="AP68" t="str">
        <v>Cancelled</v>
      </c>
      <c r="AQ68" t="str">
        <v>TRK32995144</v>
      </c>
      <c r="AR68">
        <v>9</v>
      </c>
      <c r="AS68">
        <v>0</v>
      </c>
      <c r="AT68" t="str">
        <v>Email</v>
      </c>
      <c r="AU68">
        <v>58.76</v>
      </c>
    </row>
    <row r="69" spans="1:47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  <c r="AH69" t="str">
        <v>ORD200252</v>
      </c>
      <c r="AI69">
        <v>45555</v>
      </c>
      <c r="AJ69" t="str">
        <v>C19648</v>
      </c>
      <c r="AK69" t="str">
        <v>Phone</v>
      </c>
      <c r="AL69">
        <v>4</v>
      </c>
      <c r="AM69">
        <v>668.36</v>
      </c>
      <c r="AN69" t="str">
        <v>821 Main St</v>
      </c>
      <c r="AO69" t="str">
        <v>Gift Card</v>
      </c>
      <c r="AP69" t="str">
        <v>Cancelled</v>
      </c>
      <c r="AQ69" t="str">
        <v>TRK51297879</v>
      </c>
      <c r="AR69">
        <v>5</v>
      </c>
      <c r="AS69" t="str">
        <v>FREESHIP</v>
      </c>
      <c r="AT69" t="str">
        <v>Facebook</v>
      </c>
      <c r="AU69">
        <v>2673.44</v>
      </c>
    </row>
    <row r="70" spans="1:47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AH70" t="str">
        <v>ORD200257</v>
      </c>
      <c r="AI70">
        <v>45405</v>
      </c>
      <c r="AJ70" t="str">
        <v>C89732</v>
      </c>
      <c r="AK70" t="str">
        <v>Phone</v>
      </c>
      <c r="AL70">
        <v>1</v>
      </c>
      <c r="AM70">
        <v>406.22</v>
      </c>
      <c r="AN70" t="str">
        <v>712 Main St</v>
      </c>
      <c r="AO70" t="str">
        <v>Credit Card</v>
      </c>
      <c r="AP70" t="str">
        <v>Cancelled</v>
      </c>
      <c r="AQ70" t="str">
        <v>TRK41059233</v>
      </c>
      <c r="AR70">
        <v>5</v>
      </c>
      <c r="AS70" t="str">
        <v>SAVE10</v>
      </c>
      <c r="AT70" t="str">
        <v>Referral</v>
      </c>
      <c r="AU70">
        <v>406.22</v>
      </c>
    </row>
    <row r="71" spans="1:47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  <c r="AH71" t="str">
        <v>ORD200265</v>
      </c>
      <c r="AI71">
        <v>45282</v>
      </c>
      <c r="AJ71" t="str">
        <v>C20752</v>
      </c>
      <c r="AK71" t="str">
        <v>Printer</v>
      </c>
      <c r="AL71">
        <v>1</v>
      </c>
      <c r="AM71">
        <v>572.13</v>
      </c>
      <c r="AN71" t="str">
        <v>150 Main St</v>
      </c>
      <c r="AO71" t="str">
        <v>Debit Card</v>
      </c>
      <c r="AP71" t="str">
        <v>Cancelled</v>
      </c>
      <c r="AQ71" t="str">
        <v>TRK22298450</v>
      </c>
      <c r="AR71">
        <v>4</v>
      </c>
      <c r="AS71" t="str">
        <v>SAVE10</v>
      </c>
      <c r="AT71" t="str">
        <v>Google</v>
      </c>
      <c r="AU71">
        <v>572.13</v>
      </c>
    </row>
    <row r="72" spans="1:47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AH72" t="str">
        <v>ORD200266</v>
      </c>
      <c r="AI72">
        <v>45451</v>
      </c>
      <c r="AJ72" t="str">
        <v>C38840</v>
      </c>
      <c r="AK72" t="str">
        <v>Chair</v>
      </c>
      <c r="AL72">
        <v>4</v>
      </c>
      <c r="AM72">
        <v>583.07000000000005</v>
      </c>
      <c r="AN72" t="str">
        <v>589 Main St</v>
      </c>
      <c r="AO72" t="str">
        <v>Credit Card</v>
      </c>
      <c r="AP72" t="str">
        <v>Cancelled</v>
      </c>
      <c r="AQ72" t="str">
        <v>TRK48484633</v>
      </c>
      <c r="AR72">
        <v>6</v>
      </c>
      <c r="AS72" t="str">
        <v>FREESHIP</v>
      </c>
      <c r="AT72" t="str">
        <v>Referral</v>
      </c>
      <c r="AU72">
        <v>2332.2800000000002</v>
      </c>
    </row>
    <row r="73" spans="1:47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  <c r="AH73" t="str">
        <v>ORD200273</v>
      </c>
      <c r="AI73">
        <v>45592</v>
      </c>
      <c r="AJ73" t="str">
        <v>C11849</v>
      </c>
      <c r="AK73" t="str">
        <v>Tablet</v>
      </c>
      <c r="AL73">
        <v>2</v>
      </c>
      <c r="AM73">
        <v>238.25</v>
      </c>
      <c r="AN73" t="str">
        <v>974 Main St</v>
      </c>
      <c r="AO73" t="str">
        <v>Online</v>
      </c>
      <c r="AP73" t="str">
        <v>Cancelled</v>
      </c>
      <c r="AQ73" t="str">
        <v>TRK91195261</v>
      </c>
      <c r="AR73">
        <v>7</v>
      </c>
      <c r="AS73" t="str">
        <v>FREESHIP</v>
      </c>
      <c r="AT73" t="str">
        <v>Email</v>
      </c>
      <c r="AU73">
        <v>476.5</v>
      </c>
    </row>
    <row r="74" spans="1:47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  <c r="AH74" t="str">
        <v>ORD200274</v>
      </c>
      <c r="AI74">
        <v>44961</v>
      </c>
      <c r="AJ74" t="str">
        <v>C50967</v>
      </c>
      <c r="AK74" t="str">
        <v>Phone</v>
      </c>
      <c r="AL74">
        <v>2</v>
      </c>
      <c r="AM74">
        <v>182.4</v>
      </c>
      <c r="AN74" t="str">
        <v>884 Main St</v>
      </c>
      <c r="AO74" t="str">
        <v>Gift Card</v>
      </c>
      <c r="AP74" t="str">
        <v>Cancelled</v>
      </c>
      <c r="AQ74" t="str">
        <v>TRK65300814</v>
      </c>
      <c r="AR74">
        <v>5</v>
      </c>
      <c r="AS74" t="str">
        <v>SAVE10</v>
      </c>
      <c r="AT74" t="str">
        <v>Referral</v>
      </c>
      <c r="AU74">
        <v>364.8</v>
      </c>
    </row>
    <row r="75" spans="1:47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  <c r="AH75" t="str">
        <v>ORD200275</v>
      </c>
      <c r="AI75">
        <v>45234</v>
      </c>
      <c r="AJ75" t="str">
        <v>C80735</v>
      </c>
      <c r="AK75" t="str">
        <v>Chair</v>
      </c>
      <c r="AL75">
        <v>2</v>
      </c>
      <c r="AM75">
        <v>65.069999999999993</v>
      </c>
      <c r="AN75" t="str">
        <v>360 Main St</v>
      </c>
      <c r="AO75" t="str">
        <v>Credit Card</v>
      </c>
      <c r="AP75" t="str">
        <v>Cancelled</v>
      </c>
      <c r="AQ75" t="str">
        <v>TRK99880231</v>
      </c>
      <c r="AR75">
        <v>4</v>
      </c>
      <c r="AS75" t="str">
        <v>SAVE10</v>
      </c>
      <c r="AT75" t="str">
        <v>Google</v>
      </c>
      <c r="AU75">
        <v>130.13999999999999</v>
      </c>
    </row>
    <row r="76" spans="1:47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  <c r="AH76" t="str">
        <v>ORD200282</v>
      </c>
      <c r="AI76">
        <v>45769</v>
      </c>
      <c r="AJ76" t="str">
        <v>C30411</v>
      </c>
      <c r="AK76" t="str">
        <v>Printer</v>
      </c>
      <c r="AL76">
        <v>4</v>
      </c>
      <c r="AM76">
        <v>637.79</v>
      </c>
      <c r="AN76" t="str">
        <v>375 Main St</v>
      </c>
      <c r="AO76" t="str">
        <v>Gift Card</v>
      </c>
      <c r="AP76" t="str">
        <v>Cancelled</v>
      </c>
      <c r="AQ76" t="str">
        <v>TRK71810536</v>
      </c>
      <c r="AR76">
        <v>9</v>
      </c>
      <c r="AS76" t="str">
        <v>FREESHIP</v>
      </c>
      <c r="AT76" t="str">
        <v>Google</v>
      </c>
      <c r="AU76">
        <v>2551.16</v>
      </c>
    </row>
    <row r="77" spans="1:47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AH77" t="str">
        <v>ORD200295</v>
      </c>
      <c r="AI77">
        <v>44951</v>
      </c>
      <c r="AJ77" t="str">
        <v>C49009</v>
      </c>
      <c r="AK77" t="str">
        <v>Printer</v>
      </c>
      <c r="AL77">
        <v>5</v>
      </c>
      <c r="AM77">
        <v>107.48</v>
      </c>
      <c r="AN77" t="str">
        <v>278 Main St</v>
      </c>
      <c r="AO77" t="str">
        <v>Debit Card</v>
      </c>
      <c r="AP77" t="str">
        <v>Cancelled</v>
      </c>
      <c r="AQ77" t="str">
        <v>TRK46285799</v>
      </c>
      <c r="AR77">
        <v>9</v>
      </c>
      <c r="AS77" t="str">
        <v>FREESHIP</v>
      </c>
      <c r="AT77" t="str">
        <v>Email</v>
      </c>
      <c r="AU77">
        <v>537.4</v>
      </c>
    </row>
    <row r="78" spans="1:47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AH78" t="str">
        <v>ORD200296</v>
      </c>
      <c r="AI78">
        <v>45462</v>
      </c>
      <c r="AJ78" t="str">
        <v>C48453</v>
      </c>
      <c r="AK78" t="str">
        <v>Desk</v>
      </c>
      <c r="AL78">
        <v>5</v>
      </c>
      <c r="AM78">
        <v>638.79999999999995</v>
      </c>
      <c r="AN78" t="str">
        <v>434 Main St</v>
      </c>
      <c r="AO78" t="str">
        <v>Debit Card</v>
      </c>
      <c r="AP78" t="str">
        <v>Cancelled</v>
      </c>
      <c r="AQ78" t="str">
        <v>TRK52110494</v>
      </c>
      <c r="AR78">
        <v>10</v>
      </c>
      <c r="AS78" t="str">
        <v>WINTER15</v>
      </c>
      <c r="AT78" t="str">
        <v>Referral</v>
      </c>
      <c r="AU78">
        <v>3194</v>
      </c>
    </row>
    <row r="79" spans="1:47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  <c r="AH79" t="str">
        <v>ORD200298</v>
      </c>
      <c r="AI79">
        <v>45279</v>
      </c>
      <c r="AJ79" t="str">
        <v>C19402</v>
      </c>
      <c r="AK79" t="str">
        <v>Printer</v>
      </c>
      <c r="AL79">
        <v>4</v>
      </c>
      <c r="AM79">
        <v>301.17</v>
      </c>
      <c r="AN79" t="str">
        <v>267 Main St</v>
      </c>
      <c r="AO79" t="str">
        <v>Online</v>
      </c>
      <c r="AP79" t="str">
        <v>Cancelled</v>
      </c>
      <c r="AQ79" t="str">
        <v>TRK97825212</v>
      </c>
      <c r="AR79">
        <v>6</v>
      </c>
      <c r="AS79">
        <v>0</v>
      </c>
      <c r="AT79" t="str">
        <v>Email</v>
      </c>
      <c r="AU79">
        <v>1204.68</v>
      </c>
    </row>
    <row r="80" spans="1:47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AH80" t="str">
        <v>ORD200299</v>
      </c>
      <c r="AI80">
        <v>45311</v>
      </c>
      <c r="AJ80" t="str">
        <v>C30711</v>
      </c>
      <c r="AK80" t="str">
        <v>Monitor</v>
      </c>
      <c r="AL80">
        <v>1</v>
      </c>
      <c r="AM80">
        <v>278.66000000000003</v>
      </c>
      <c r="AN80" t="str">
        <v>856 Main St</v>
      </c>
      <c r="AO80" t="str">
        <v>Gift Card</v>
      </c>
      <c r="AP80" t="str">
        <v>Cancelled</v>
      </c>
      <c r="AQ80" t="str">
        <v>TRK42696593</v>
      </c>
      <c r="AR80">
        <v>2</v>
      </c>
      <c r="AS80" t="str">
        <v>FREESHIP</v>
      </c>
      <c r="AT80" t="str">
        <v>Instagram</v>
      </c>
      <c r="AU80">
        <v>278.66000000000003</v>
      </c>
    </row>
    <row r="81" spans="1:47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  <c r="AH81" t="str">
        <v>ORD200301</v>
      </c>
      <c r="AI81">
        <v>45057</v>
      </c>
      <c r="AJ81" t="str">
        <v>C31105</v>
      </c>
      <c r="AK81" t="str">
        <v>Chair</v>
      </c>
      <c r="AL81">
        <v>1</v>
      </c>
      <c r="AM81">
        <v>583.99</v>
      </c>
      <c r="AN81" t="str">
        <v>726 Main St</v>
      </c>
      <c r="AO81" t="str">
        <v>Cash</v>
      </c>
      <c r="AP81" t="str">
        <v>Cancelled</v>
      </c>
      <c r="AQ81" t="str">
        <v>TRK40149095</v>
      </c>
      <c r="AR81">
        <v>2</v>
      </c>
      <c r="AS81" t="str">
        <v>SAVE10</v>
      </c>
      <c r="AT81" t="str">
        <v>Email</v>
      </c>
      <c r="AU81">
        <v>583.99</v>
      </c>
    </row>
    <row r="82" spans="1:47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  <c r="AH82" t="str">
        <v>ORD200315</v>
      </c>
      <c r="AI82">
        <v>45789</v>
      </c>
      <c r="AJ82" t="str">
        <v>C59139</v>
      </c>
      <c r="AK82" t="str">
        <v>Tablet</v>
      </c>
      <c r="AL82">
        <v>5</v>
      </c>
      <c r="AM82">
        <v>91.67</v>
      </c>
      <c r="AN82" t="str">
        <v>301 Main St</v>
      </c>
      <c r="AO82" t="str">
        <v>Online</v>
      </c>
      <c r="AP82" t="str">
        <v>Cancelled</v>
      </c>
      <c r="AQ82" t="str">
        <v>TRK45507090</v>
      </c>
      <c r="AR82">
        <v>9</v>
      </c>
      <c r="AS82" t="str">
        <v>FREESHIP</v>
      </c>
      <c r="AT82" t="str">
        <v>Email</v>
      </c>
      <c r="AU82">
        <v>458.35</v>
      </c>
    </row>
    <row r="83" spans="1:47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AH83" t="str">
        <v>ORD200318</v>
      </c>
      <c r="AI83">
        <v>45500</v>
      </c>
      <c r="AJ83" t="str">
        <v>C93375</v>
      </c>
      <c r="AK83" t="str">
        <v>Chair</v>
      </c>
      <c r="AL83">
        <v>3</v>
      </c>
      <c r="AM83">
        <v>148.72</v>
      </c>
      <c r="AN83" t="str">
        <v>317 Main St</v>
      </c>
      <c r="AO83" t="str">
        <v>Debit Card</v>
      </c>
      <c r="AP83" t="str">
        <v>Cancelled</v>
      </c>
      <c r="AQ83" t="str">
        <v>TRK95706967</v>
      </c>
      <c r="AR83">
        <v>7</v>
      </c>
      <c r="AS83" t="str">
        <v>SAVE10</v>
      </c>
      <c r="AT83" t="str">
        <v>Google</v>
      </c>
      <c r="AU83">
        <v>446.16</v>
      </c>
    </row>
    <row r="84" spans="1:47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AH84" t="str">
        <v>ORD200321</v>
      </c>
      <c r="AI84">
        <v>45147</v>
      </c>
      <c r="AJ84" t="str">
        <v>C47086</v>
      </c>
      <c r="AK84" t="str">
        <v>Phone</v>
      </c>
      <c r="AL84">
        <v>4</v>
      </c>
      <c r="AM84">
        <v>152.29</v>
      </c>
      <c r="AN84" t="str">
        <v>135 Main St</v>
      </c>
      <c r="AO84" t="str">
        <v>Debit Card</v>
      </c>
      <c r="AP84" t="str">
        <v>Cancelled</v>
      </c>
      <c r="AQ84" t="str">
        <v>TRK44194358</v>
      </c>
      <c r="AR84">
        <v>6</v>
      </c>
      <c r="AS84" t="str">
        <v>WINTER15</v>
      </c>
      <c r="AT84" t="str">
        <v>Google</v>
      </c>
      <c r="AU84">
        <v>609.16</v>
      </c>
    </row>
    <row r="85" spans="1:47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  <c r="AH85" t="str">
        <v>ORD200327</v>
      </c>
      <c r="AI85">
        <v>45132</v>
      </c>
      <c r="AJ85" t="str">
        <v>C17302</v>
      </c>
      <c r="AK85" t="str">
        <v>Phone</v>
      </c>
      <c r="AL85">
        <v>1</v>
      </c>
      <c r="AM85">
        <v>359.99</v>
      </c>
      <c r="AN85" t="str">
        <v>385 Main St</v>
      </c>
      <c r="AO85" t="str">
        <v>Gift Card</v>
      </c>
      <c r="AP85" t="str">
        <v>Cancelled</v>
      </c>
      <c r="AQ85" t="str">
        <v>TRK43940016</v>
      </c>
      <c r="AR85">
        <v>5</v>
      </c>
      <c r="AS85" t="str">
        <v>SAVE10</v>
      </c>
      <c r="AT85" t="str">
        <v>Email</v>
      </c>
      <c r="AU85">
        <v>359.99</v>
      </c>
    </row>
    <row r="86" spans="1:47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AH86" t="str">
        <v>ORD200328</v>
      </c>
      <c r="AI86">
        <v>44985</v>
      </c>
      <c r="AJ86" t="str">
        <v>C18404</v>
      </c>
      <c r="AK86" t="str">
        <v>Tablet</v>
      </c>
      <c r="AL86">
        <v>5</v>
      </c>
      <c r="AM86">
        <v>674.04</v>
      </c>
      <c r="AN86" t="str">
        <v>546 Main St</v>
      </c>
      <c r="AO86" t="str">
        <v>Online</v>
      </c>
      <c r="AP86" t="str">
        <v>Cancelled</v>
      </c>
      <c r="AQ86" t="str">
        <v>TRK89401624</v>
      </c>
      <c r="AR86">
        <v>7</v>
      </c>
      <c r="AS86" t="str">
        <v>SAVE10</v>
      </c>
      <c r="AT86" t="str">
        <v>Google</v>
      </c>
      <c r="AU86">
        <v>3370.2</v>
      </c>
    </row>
    <row r="87" spans="1:47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AH87" t="str">
        <v>ORD200340</v>
      </c>
      <c r="AI87">
        <v>45039</v>
      </c>
      <c r="AJ87" t="str">
        <v>C76207</v>
      </c>
      <c r="AK87" t="str">
        <v>Laptop</v>
      </c>
      <c r="AL87">
        <v>5</v>
      </c>
      <c r="AM87">
        <v>521.25</v>
      </c>
      <c r="AN87" t="str">
        <v>826 Main St</v>
      </c>
      <c r="AO87" t="str">
        <v>Cash</v>
      </c>
      <c r="AP87" t="str">
        <v>Cancelled</v>
      </c>
      <c r="AQ87" t="str">
        <v>TRK25569378</v>
      </c>
      <c r="AR87">
        <v>8</v>
      </c>
      <c r="AS87">
        <v>0</v>
      </c>
      <c r="AT87" t="str">
        <v>Email</v>
      </c>
      <c r="AU87">
        <v>2606.25</v>
      </c>
    </row>
    <row r="88" spans="1:47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AH88" t="str">
        <v>ORD200344</v>
      </c>
      <c r="AI88">
        <v>45722</v>
      </c>
      <c r="AJ88" t="str">
        <v>C95623</v>
      </c>
      <c r="AK88" t="str">
        <v>Tablet</v>
      </c>
      <c r="AL88">
        <v>3</v>
      </c>
      <c r="AM88">
        <v>623.34</v>
      </c>
      <c r="AN88" t="str">
        <v>248 Main St</v>
      </c>
      <c r="AO88" t="str">
        <v>Online</v>
      </c>
      <c r="AP88" t="str">
        <v>Cancelled</v>
      </c>
      <c r="AQ88" t="str">
        <v>TRK67558189</v>
      </c>
      <c r="AR88">
        <v>3</v>
      </c>
      <c r="AS88" t="str">
        <v>SAVE10</v>
      </c>
      <c r="AT88" t="str">
        <v>Instagram</v>
      </c>
      <c r="AU88">
        <v>1870.02</v>
      </c>
    </row>
    <row r="89" spans="1:47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AH89" t="str">
        <v>ORD200355</v>
      </c>
      <c r="AI89">
        <v>45811</v>
      </c>
      <c r="AJ89" t="str">
        <v>C18353</v>
      </c>
      <c r="AK89" t="str">
        <v>Tablet</v>
      </c>
      <c r="AL89">
        <v>3</v>
      </c>
      <c r="AM89">
        <v>433.33</v>
      </c>
      <c r="AN89" t="str">
        <v>677 Main St</v>
      </c>
      <c r="AO89" t="str">
        <v>Credit Card</v>
      </c>
      <c r="AP89" t="str">
        <v>Cancelled</v>
      </c>
      <c r="AQ89" t="str">
        <v>TRK78766533</v>
      </c>
      <c r="AR89">
        <v>4</v>
      </c>
      <c r="AS89" t="str">
        <v>FREESHIP</v>
      </c>
      <c r="AT89" t="str">
        <v>Referral</v>
      </c>
      <c r="AU89">
        <v>1299.99</v>
      </c>
    </row>
    <row r="90" spans="1:47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  <c r="AH90" t="str">
        <v>ORD200356</v>
      </c>
      <c r="AI90">
        <v>45052</v>
      </c>
      <c r="AJ90" t="str">
        <v>C26966</v>
      </c>
      <c r="AK90" t="str">
        <v>Printer</v>
      </c>
      <c r="AL90">
        <v>5</v>
      </c>
      <c r="AM90">
        <v>374.58</v>
      </c>
      <c r="AN90" t="str">
        <v>907 Main St</v>
      </c>
      <c r="AO90" t="str">
        <v>Gift Card</v>
      </c>
      <c r="AP90" t="str">
        <v>Cancelled</v>
      </c>
      <c r="AQ90" t="str">
        <v>TRK83889574</v>
      </c>
      <c r="AR90">
        <v>10</v>
      </c>
      <c r="AS90" t="str">
        <v>FREESHIP</v>
      </c>
      <c r="AT90" t="str">
        <v>Instagram</v>
      </c>
      <c r="AU90">
        <v>1872.9</v>
      </c>
    </row>
    <row r="91" spans="1:47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AH91" t="str">
        <v>ORD200358</v>
      </c>
      <c r="AI91">
        <v>45389</v>
      </c>
      <c r="AJ91" t="str">
        <v>C70633</v>
      </c>
      <c r="AK91" t="str">
        <v>Tablet</v>
      </c>
      <c r="AL91">
        <v>2</v>
      </c>
      <c r="AM91">
        <v>183.67</v>
      </c>
      <c r="AN91" t="str">
        <v>747 Main St</v>
      </c>
      <c r="AO91" t="str">
        <v>Online</v>
      </c>
      <c r="AP91" t="str">
        <v>Cancelled</v>
      </c>
      <c r="AQ91" t="str">
        <v>TRK82540521</v>
      </c>
      <c r="AR91">
        <v>3</v>
      </c>
      <c r="AS91" t="str">
        <v>SAVE10</v>
      </c>
      <c r="AT91" t="str">
        <v>Google</v>
      </c>
      <c r="AU91">
        <v>367.34</v>
      </c>
    </row>
    <row r="92" spans="1:47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AH92" t="str">
        <v>ORD200362</v>
      </c>
      <c r="AI92">
        <v>45104</v>
      </c>
      <c r="AJ92" t="str">
        <v>C53697</v>
      </c>
      <c r="AK92" t="str">
        <v>Monitor</v>
      </c>
      <c r="AL92">
        <v>4</v>
      </c>
      <c r="AM92">
        <v>206.84</v>
      </c>
      <c r="AN92" t="str">
        <v>312 Main St</v>
      </c>
      <c r="AO92" t="str">
        <v>Cash</v>
      </c>
      <c r="AP92" t="str">
        <v>Cancelled</v>
      </c>
      <c r="AQ92" t="str">
        <v>TRK60476656</v>
      </c>
      <c r="AR92">
        <v>5</v>
      </c>
      <c r="AS92" t="str">
        <v>WINTER15</v>
      </c>
      <c r="AT92" t="str">
        <v>Instagram</v>
      </c>
      <c r="AU92">
        <v>827.36</v>
      </c>
    </row>
    <row r="93" spans="1:47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AH93" t="str">
        <v>ORD200364</v>
      </c>
      <c r="AI93">
        <v>45254</v>
      </c>
      <c r="AJ93" t="str">
        <v>C85282</v>
      </c>
      <c r="AK93" t="str">
        <v>Phone</v>
      </c>
      <c r="AL93">
        <v>5</v>
      </c>
      <c r="AM93">
        <v>628.74</v>
      </c>
      <c r="AN93" t="str">
        <v>740 Main St</v>
      </c>
      <c r="AO93" t="str">
        <v>Cash</v>
      </c>
      <c r="AP93" t="str">
        <v>Cancelled</v>
      </c>
      <c r="AQ93" t="str">
        <v>TRK86767206</v>
      </c>
      <c r="AR93">
        <v>9</v>
      </c>
      <c r="AS93" t="str">
        <v>FREESHIP</v>
      </c>
      <c r="AT93" t="str">
        <v>Facebook</v>
      </c>
      <c r="AU93">
        <v>3143.7</v>
      </c>
    </row>
    <row r="94" spans="1:47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AH94" t="str">
        <v>ORD200365</v>
      </c>
      <c r="AI94">
        <v>45702</v>
      </c>
      <c r="AJ94" t="str">
        <v>C56796</v>
      </c>
      <c r="AK94" t="str">
        <v>Phone</v>
      </c>
      <c r="AL94">
        <v>1</v>
      </c>
      <c r="AM94">
        <v>678.38</v>
      </c>
      <c r="AN94" t="str">
        <v>607 Main St</v>
      </c>
      <c r="AO94" t="str">
        <v>Credit Card</v>
      </c>
      <c r="AP94" t="str">
        <v>Cancelled</v>
      </c>
      <c r="AQ94" t="str">
        <v>TRK74263180</v>
      </c>
      <c r="AR94">
        <v>4</v>
      </c>
      <c r="AS94" t="str">
        <v>SAVE10</v>
      </c>
      <c r="AT94" t="str">
        <v>Referral</v>
      </c>
      <c r="AU94">
        <v>678.38</v>
      </c>
    </row>
    <row r="95" spans="1:47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  <c r="AH95" t="str">
        <v>ORD200368</v>
      </c>
      <c r="AI95">
        <v>45047</v>
      </c>
      <c r="AJ95" t="str">
        <v>C85322</v>
      </c>
      <c r="AK95" t="str">
        <v>Monitor</v>
      </c>
      <c r="AL95">
        <v>3</v>
      </c>
      <c r="AM95">
        <v>271.02</v>
      </c>
      <c r="AN95" t="str">
        <v>403 Main St</v>
      </c>
      <c r="AO95" t="str">
        <v>Credit Card</v>
      </c>
      <c r="AP95" t="str">
        <v>Cancelled</v>
      </c>
      <c r="AQ95" t="str">
        <v>TRK89728869</v>
      </c>
      <c r="AR95">
        <v>6</v>
      </c>
      <c r="AS95">
        <v>0</v>
      </c>
      <c r="AT95" t="str">
        <v>Google</v>
      </c>
      <c r="AU95">
        <v>813.06</v>
      </c>
    </row>
    <row r="96" spans="1:47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AH96" t="str">
        <v>ORD200370</v>
      </c>
      <c r="AI96">
        <v>45780</v>
      </c>
      <c r="AJ96" t="str">
        <v>C80649</v>
      </c>
      <c r="AK96" t="str">
        <v>Phone</v>
      </c>
      <c r="AL96">
        <v>1</v>
      </c>
      <c r="AM96">
        <v>312.11</v>
      </c>
      <c r="AN96" t="str">
        <v>870 Main St</v>
      </c>
      <c r="AO96" t="str">
        <v>Online</v>
      </c>
      <c r="AP96" t="str">
        <v>Cancelled</v>
      </c>
      <c r="AQ96" t="str">
        <v>TRK41143313</v>
      </c>
      <c r="AR96">
        <v>4</v>
      </c>
      <c r="AS96" t="str">
        <v>WINTER15</v>
      </c>
      <c r="AT96" t="str">
        <v>Facebook</v>
      </c>
      <c r="AU96">
        <v>312.11</v>
      </c>
    </row>
    <row r="97" spans="1:47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  <c r="AH97" t="str">
        <v>ORD200391</v>
      </c>
      <c r="AI97">
        <v>45673</v>
      </c>
      <c r="AJ97" t="str">
        <v>C60037</v>
      </c>
      <c r="AK97" t="str">
        <v>Laptop</v>
      </c>
      <c r="AL97">
        <v>2</v>
      </c>
      <c r="AM97">
        <v>527.46</v>
      </c>
      <c r="AN97" t="str">
        <v>516 Main St</v>
      </c>
      <c r="AO97" t="str">
        <v>Debit Card</v>
      </c>
      <c r="AP97" t="str">
        <v>Cancelled</v>
      </c>
      <c r="AQ97" t="str">
        <v>TRK82009557</v>
      </c>
      <c r="AR97">
        <v>3</v>
      </c>
      <c r="AS97" t="str">
        <v>FREESHIP</v>
      </c>
      <c r="AT97" t="str">
        <v>Referral</v>
      </c>
      <c r="AU97">
        <v>1054.92</v>
      </c>
    </row>
    <row r="98" spans="1:47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  <c r="AH98" t="str">
        <v>ORD200397</v>
      </c>
      <c r="AI98">
        <v>45197</v>
      </c>
      <c r="AJ98" t="str">
        <v>C30184</v>
      </c>
      <c r="AK98" t="str">
        <v>Monitor</v>
      </c>
      <c r="AL98">
        <v>1</v>
      </c>
      <c r="AM98">
        <v>427.06</v>
      </c>
      <c r="AN98" t="str">
        <v>987 Main St</v>
      </c>
      <c r="AO98" t="str">
        <v>Online</v>
      </c>
      <c r="AP98" t="str">
        <v>Cancelled</v>
      </c>
      <c r="AQ98" t="str">
        <v>TRK86674704</v>
      </c>
      <c r="AR98">
        <v>1</v>
      </c>
      <c r="AS98" t="str">
        <v>WINTER15</v>
      </c>
      <c r="AT98" t="str">
        <v>Referral</v>
      </c>
      <c r="AU98">
        <v>427.06</v>
      </c>
    </row>
    <row r="99" spans="1:47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  <c r="AH99" t="str">
        <v>ORD200405</v>
      </c>
      <c r="AI99">
        <v>45683</v>
      </c>
      <c r="AJ99" t="str">
        <v>C97774</v>
      </c>
      <c r="AK99" t="str">
        <v>Monitor</v>
      </c>
      <c r="AL99">
        <v>4</v>
      </c>
      <c r="AM99">
        <v>451.97</v>
      </c>
      <c r="AN99" t="str">
        <v>603 Main St</v>
      </c>
      <c r="AO99" t="str">
        <v>Online</v>
      </c>
      <c r="AP99" t="str">
        <v>Cancelled</v>
      </c>
      <c r="AQ99" t="str">
        <v>TRK64664424</v>
      </c>
      <c r="AR99">
        <v>7</v>
      </c>
      <c r="AS99" t="str">
        <v>WINTER15</v>
      </c>
      <c r="AT99" t="str">
        <v>Email</v>
      </c>
      <c r="AU99">
        <v>1807.88</v>
      </c>
    </row>
    <row r="100" spans="1:47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  <c r="AH100" t="str">
        <v>ORD200416</v>
      </c>
      <c r="AI100">
        <v>45125</v>
      </c>
      <c r="AJ100" t="str">
        <v>C20881</v>
      </c>
      <c r="AK100" t="str">
        <v>Laptop</v>
      </c>
      <c r="AL100">
        <v>2</v>
      </c>
      <c r="AM100">
        <v>644.04999999999995</v>
      </c>
      <c r="AN100" t="str">
        <v>652 Main St</v>
      </c>
      <c r="AO100" t="str">
        <v>Gift Card</v>
      </c>
      <c r="AP100" t="str">
        <v>Cancelled</v>
      </c>
      <c r="AQ100" t="str">
        <v>TRK26263902</v>
      </c>
      <c r="AR100">
        <v>5</v>
      </c>
      <c r="AS100" t="str">
        <v>WINTER15</v>
      </c>
      <c r="AT100" t="str">
        <v>Referral</v>
      </c>
      <c r="AU100">
        <v>1288.0999999999999</v>
      </c>
    </row>
    <row r="101" spans="1:47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AH101" t="str">
        <v>ORD200417</v>
      </c>
      <c r="AI101">
        <v>45223</v>
      </c>
      <c r="AJ101" t="str">
        <v>C44492</v>
      </c>
      <c r="AK101" t="str">
        <v>Laptop</v>
      </c>
      <c r="AL101">
        <v>5</v>
      </c>
      <c r="AM101">
        <v>55.41</v>
      </c>
      <c r="AN101" t="str">
        <v>954 Main St</v>
      </c>
      <c r="AO101" t="str">
        <v>Online</v>
      </c>
      <c r="AP101" t="str">
        <v>Cancelled</v>
      </c>
      <c r="AQ101" t="str">
        <v>TRK51429869</v>
      </c>
      <c r="AR101">
        <v>5</v>
      </c>
      <c r="AS101">
        <v>0</v>
      </c>
      <c r="AT101" t="str">
        <v>Google</v>
      </c>
      <c r="AU101">
        <v>277.05</v>
      </c>
    </row>
    <row r="102" spans="1:47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  <c r="AH102" t="str">
        <v>ORD200418</v>
      </c>
      <c r="AI102">
        <v>44937</v>
      </c>
      <c r="AJ102" t="str">
        <v>C74169</v>
      </c>
      <c r="AK102" t="str">
        <v>Printer</v>
      </c>
      <c r="AL102">
        <v>1</v>
      </c>
      <c r="AM102">
        <v>310.93</v>
      </c>
      <c r="AN102" t="str">
        <v>862 Main St</v>
      </c>
      <c r="AO102" t="str">
        <v>Online</v>
      </c>
      <c r="AP102" t="str">
        <v>Cancelled</v>
      </c>
      <c r="AQ102" t="str">
        <v>TRK66144809</v>
      </c>
      <c r="AR102">
        <v>3</v>
      </c>
      <c r="AS102">
        <v>0</v>
      </c>
      <c r="AT102" t="str">
        <v>Facebook</v>
      </c>
      <c r="AU102">
        <v>310.93</v>
      </c>
    </row>
    <row r="103" spans="1:47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  <c r="AH103" t="str">
        <v>ORD200421</v>
      </c>
      <c r="AI103">
        <v>45214</v>
      </c>
      <c r="AJ103" t="str">
        <v>C50683</v>
      </c>
      <c r="AK103" t="str">
        <v>Chair</v>
      </c>
      <c r="AL103">
        <v>2</v>
      </c>
      <c r="AM103">
        <v>288.20999999999998</v>
      </c>
      <c r="AN103" t="str">
        <v>769 Main St</v>
      </c>
      <c r="AO103" t="str">
        <v>Debit Card</v>
      </c>
      <c r="AP103" t="str">
        <v>Cancelled</v>
      </c>
      <c r="AQ103" t="str">
        <v>TRK53032122</v>
      </c>
      <c r="AR103">
        <v>5</v>
      </c>
      <c r="AS103">
        <v>0</v>
      </c>
      <c r="AT103" t="str">
        <v>Email</v>
      </c>
      <c r="AU103">
        <v>576.41999999999996</v>
      </c>
    </row>
    <row r="104" spans="1:47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AH104" t="str">
        <v>ORD200423</v>
      </c>
      <c r="AI104">
        <v>45493</v>
      </c>
      <c r="AJ104" t="str">
        <v>C94311</v>
      </c>
      <c r="AK104" t="str">
        <v>Printer</v>
      </c>
      <c r="AL104">
        <v>4</v>
      </c>
      <c r="AM104">
        <v>685.2</v>
      </c>
      <c r="AN104" t="str">
        <v>195 Main St</v>
      </c>
      <c r="AO104" t="str">
        <v>Gift Card</v>
      </c>
      <c r="AP104" t="str">
        <v>Cancelled</v>
      </c>
      <c r="AQ104" t="str">
        <v>TRK97308771</v>
      </c>
      <c r="AR104">
        <v>6</v>
      </c>
      <c r="AS104" t="str">
        <v>WINTER15</v>
      </c>
      <c r="AT104" t="str">
        <v>Google</v>
      </c>
      <c r="AU104">
        <v>2740.8</v>
      </c>
    </row>
    <row r="105" spans="1:47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AH105" t="str">
        <v>ORD200426</v>
      </c>
      <c r="AI105">
        <v>45732</v>
      </c>
      <c r="AJ105" t="str">
        <v>C40967</v>
      </c>
      <c r="AK105" t="str">
        <v>Monitor</v>
      </c>
      <c r="AL105">
        <v>5</v>
      </c>
      <c r="AM105">
        <v>57.45</v>
      </c>
      <c r="AN105" t="str">
        <v>315 Main St</v>
      </c>
      <c r="AO105" t="str">
        <v>Cash</v>
      </c>
      <c r="AP105" t="str">
        <v>Cancelled</v>
      </c>
      <c r="AQ105" t="str">
        <v>TRK24839296</v>
      </c>
      <c r="AR105">
        <v>10</v>
      </c>
      <c r="AS105">
        <v>0</v>
      </c>
      <c r="AT105" t="str">
        <v>Facebook</v>
      </c>
      <c r="AU105">
        <v>287.25</v>
      </c>
    </row>
    <row r="106" spans="1:47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AH106" t="str">
        <v>ORD200428</v>
      </c>
      <c r="AI106">
        <v>45622</v>
      </c>
      <c r="AJ106" t="str">
        <v>C77085</v>
      </c>
      <c r="AK106" t="str">
        <v>Chair</v>
      </c>
      <c r="AL106">
        <v>4</v>
      </c>
      <c r="AM106">
        <v>262.58</v>
      </c>
      <c r="AN106" t="str">
        <v>895 Main St</v>
      </c>
      <c r="AO106" t="str">
        <v>Online</v>
      </c>
      <c r="AP106" t="str">
        <v>Cancelled</v>
      </c>
      <c r="AQ106" t="str">
        <v>TRK57227640</v>
      </c>
      <c r="AR106">
        <v>8</v>
      </c>
      <c r="AS106" t="str">
        <v>WINTER15</v>
      </c>
      <c r="AT106" t="str">
        <v>Email</v>
      </c>
      <c r="AU106">
        <v>1050.32</v>
      </c>
    </row>
    <row r="107" spans="1:47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  <c r="AH107" t="str">
        <v>ORD200431</v>
      </c>
      <c r="AI107">
        <v>45571</v>
      </c>
      <c r="AJ107" t="str">
        <v>C62312</v>
      </c>
      <c r="AK107" t="str">
        <v>Printer</v>
      </c>
      <c r="AL107">
        <v>1</v>
      </c>
      <c r="AM107">
        <v>52.54</v>
      </c>
      <c r="AN107" t="str">
        <v>651 Main St</v>
      </c>
      <c r="AO107" t="str">
        <v>Debit Card</v>
      </c>
      <c r="AP107" t="str">
        <v>Cancelled</v>
      </c>
      <c r="AQ107" t="str">
        <v>TRK59623037</v>
      </c>
      <c r="AR107">
        <v>6</v>
      </c>
      <c r="AS107" t="str">
        <v>WINTER15</v>
      </c>
      <c r="AT107" t="str">
        <v>Facebook</v>
      </c>
      <c r="AU107">
        <v>52.54</v>
      </c>
    </row>
    <row r="108" spans="1:47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AH108" t="str">
        <v>ORD200451</v>
      </c>
      <c r="AI108">
        <v>45017</v>
      </c>
      <c r="AJ108" t="str">
        <v>C14837</v>
      </c>
      <c r="AK108" t="str">
        <v>Monitor</v>
      </c>
      <c r="AL108">
        <v>1</v>
      </c>
      <c r="AM108">
        <v>183.18</v>
      </c>
      <c r="AN108" t="str">
        <v>647 Main St</v>
      </c>
      <c r="AO108" t="str">
        <v>Debit Card</v>
      </c>
      <c r="AP108" t="str">
        <v>Cancelled</v>
      </c>
      <c r="AQ108" t="str">
        <v>TRK17501136</v>
      </c>
      <c r="AR108">
        <v>6</v>
      </c>
      <c r="AS108" t="str">
        <v>SAVE10</v>
      </c>
      <c r="AT108" t="str">
        <v>Email</v>
      </c>
      <c r="AU108">
        <v>183.18</v>
      </c>
    </row>
    <row r="109" spans="1:47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AH109" t="str">
        <v>ORD200454</v>
      </c>
      <c r="AI109">
        <v>45623</v>
      </c>
      <c r="AJ109" t="str">
        <v>C54759</v>
      </c>
      <c r="AK109" t="str">
        <v>Laptop</v>
      </c>
      <c r="AL109">
        <v>1</v>
      </c>
      <c r="AM109">
        <v>109.29</v>
      </c>
      <c r="AN109" t="str">
        <v>686 Main St</v>
      </c>
      <c r="AO109" t="str">
        <v>Debit Card</v>
      </c>
      <c r="AP109" t="str">
        <v>Cancelled</v>
      </c>
      <c r="AQ109" t="str">
        <v>TRK75583042</v>
      </c>
      <c r="AR109">
        <v>5</v>
      </c>
      <c r="AS109" t="str">
        <v>FREESHIP</v>
      </c>
      <c r="AT109" t="str">
        <v>Google</v>
      </c>
      <c r="AU109">
        <v>109.29</v>
      </c>
    </row>
    <row r="110" spans="1:47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AH110" t="str">
        <v>ORD200462</v>
      </c>
      <c r="AI110">
        <v>45747</v>
      </c>
      <c r="AJ110" t="str">
        <v>C22991</v>
      </c>
      <c r="AK110" t="str">
        <v>Phone</v>
      </c>
      <c r="AL110">
        <v>1</v>
      </c>
      <c r="AM110">
        <v>252.68</v>
      </c>
      <c r="AN110" t="str">
        <v>731 Main St</v>
      </c>
      <c r="AO110" t="str">
        <v>Online</v>
      </c>
      <c r="AP110" t="str">
        <v>Cancelled</v>
      </c>
      <c r="AQ110" t="str">
        <v>TRK32796086</v>
      </c>
      <c r="AR110">
        <v>1</v>
      </c>
      <c r="AS110">
        <v>0</v>
      </c>
      <c r="AT110" t="str">
        <v>Referral</v>
      </c>
      <c r="AU110">
        <v>252.68</v>
      </c>
    </row>
    <row r="111" spans="1:47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AH111" t="str">
        <v>ORD200464</v>
      </c>
      <c r="AI111">
        <v>44999</v>
      </c>
      <c r="AJ111" t="str">
        <v>C39176</v>
      </c>
      <c r="AK111" t="str">
        <v>Tablet</v>
      </c>
      <c r="AL111">
        <v>4</v>
      </c>
      <c r="AM111">
        <v>434.42</v>
      </c>
      <c r="AN111" t="str">
        <v>739 Main St</v>
      </c>
      <c r="AO111" t="str">
        <v>Online</v>
      </c>
      <c r="AP111" t="str">
        <v>Cancelled</v>
      </c>
      <c r="AQ111" t="str">
        <v>TRK71418686</v>
      </c>
      <c r="AR111">
        <v>6</v>
      </c>
      <c r="AS111" t="str">
        <v>FREESHIP</v>
      </c>
      <c r="AT111" t="str">
        <v>Google</v>
      </c>
      <c r="AU111">
        <v>1737.68</v>
      </c>
    </row>
    <row r="112" spans="1:47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AH112" t="str">
        <v>ORD200465</v>
      </c>
      <c r="AI112">
        <v>45348</v>
      </c>
      <c r="AJ112" t="str">
        <v>C58773</v>
      </c>
      <c r="AK112" t="str">
        <v>Printer</v>
      </c>
      <c r="AL112">
        <v>5</v>
      </c>
      <c r="AM112">
        <v>513.49</v>
      </c>
      <c r="AN112" t="str">
        <v>391 Main St</v>
      </c>
      <c r="AO112" t="str">
        <v>Gift Card</v>
      </c>
      <c r="AP112" t="str">
        <v>Cancelled</v>
      </c>
      <c r="AQ112" t="str">
        <v>TRK65438300</v>
      </c>
      <c r="AR112">
        <v>8</v>
      </c>
      <c r="AS112">
        <v>0</v>
      </c>
      <c r="AT112" t="str">
        <v>Google</v>
      </c>
      <c r="AU112">
        <v>2567.4499999999998</v>
      </c>
    </row>
    <row r="113" spans="1:47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AH113" t="str">
        <v>ORD200467</v>
      </c>
      <c r="AI113">
        <v>45534</v>
      </c>
      <c r="AJ113" t="str">
        <v>C36492</v>
      </c>
      <c r="AK113" t="str">
        <v>Desk</v>
      </c>
      <c r="AL113">
        <v>1</v>
      </c>
      <c r="AM113">
        <v>45.94</v>
      </c>
      <c r="AN113" t="str">
        <v>572 Main St</v>
      </c>
      <c r="AO113" t="str">
        <v>Cash</v>
      </c>
      <c r="AP113" t="str">
        <v>Cancelled</v>
      </c>
      <c r="AQ113" t="str">
        <v>TRK44350440</v>
      </c>
      <c r="AR113">
        <v>2</v>
      </c>
      <c r="AS113" t="str">
        <v>WINTER15</v>
      </c>
      <c r="AT113" t="str">
        <v>Email</v>
      </c>
      <c r="AU113">
        <v>45.94</v>
      </c>
    </row>
    <row r="114" spans="1:47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AH114" t="str">
        <v>ORD200469</v>
      </c>
      <c r="AI114">
        <v>45256</v>
      </c>
      <c r="AJ114" t="str">
        <v>C13877</v>
      </c>
      <c r="AK114" t="str">
        <v>Chair</v>
      </c>
      <c r="AL114">
        <v>5</v>
      </c>
      <c r="AM114">
        <v>676.98</v>
      </c>
      <c r="AN114" t="str">
        <v>893 Main St</v>
      </c>
      <c r="AO114" t="str">
        <v>Cash</v>
      </c>
      <c r="AP114" t="str">
        <v>Cancelled</v>
      </c>
      <c r="AQ114" t="str">
        <v>TRK17254691</v>
      </c>
      <c r="AR114">
        <v>5</v>
      </c>
      <c r="AS114">
        <v>0</v>
      </c>
      <c r="AT114" t="str">
        <v>Facebook</v>
      </c>
      <c r="AU114">
        <v>3384.9</v>
      </c>
    </row>
    <row r="115" spans="1:47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AH115" t="str">
        <v>ORD200471</v>
      </c>
      <c r="AI115">
        <v>45766</v>
      </c>
      <c r="AJ115" t="str">
        <v>C52717</v>
      </c>
      <c r="AK115" t="str">
        <v>Desk</v>
      </c>
      <c r="AL115">
        <v>5</v>
      </c>
      <c r="AM115">
        <v>551.27</v>
      </c>
      <c r="AN115" t="str">
        <v>395 Main St</v>
      </c>
      <c r="AO115" t="str">
        <v>Online</v>
      </c>
      <c r="AP115" t="str">
        <v>Cancelled</v>
      </c>
      <c r="AQ115" t="str">
        <v>TRK27625571</v>
      </c>
      <c r="AR115">
        <v>7</v>
      </c>
      <c r="AS115" t="str">
        <v>FREESHIP</v>
      </c>
      <c r="AT115" t="str">
        <v>Referral</v>
      </c>
      <c r="AU115">
        <v>2756.35</v>
      </c>
    </row>
    <row r="116" spans="1:47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AH116" t="str">
        <v>ORD200472</v>
      </c>
      <c r="AI116">
        <v>44932</v>
      </c>
      <c r="AJ116" t="str">
        <v>C60029</v>
      </c>
      <c r="AK116" t="str">
        <v>Chair</v>
      </c>
      <c r="AL116">
        <v>3</v>
      </c>
      <c r="AM116">
        <v>508.12</v>
      </c>
      <c r="AN116" t="str">
        <v>796 Main St</v>
      </c>
      <c r="AO116" t="str">
        <v>Credit Card</v>
      </c>
      <c r="AP116" t="str">
        <v>Cancelled</v>
      </c>
      <c r="AQ116" t="str">
        <v>TRK86461316</v>
      </c>
      <c r="AR116">
        <v>8</v>
      </c>
      <c r="AS116" t="str">
        <v>FREESHIP</v>
      </c>
      <c r="AT116" t="str">
        <v>Referral</v>
      </c>
      <c r="AU116">
        <v>1524.36</v>
      </c>
    </row>
    <row r="117" spans="1:47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AH117" t="str">
        <v>ORD200475</v>
      </c>
      <c r="AI117">
        <v>45766</v>
      </c>
      <c r="AJ117" t="str">
        <v>C29844</v>
      </c>
      <c r="AK117" t="str">
        <v>Tablet</v>
      </c>
      <c r="AL117">
        <v>2</v>
      </c>
      <c r="AM117">
        <v>438.62</v>
      </c>
      <c r="AN117" t="str">
        <v>363 Main St</v>
      </c>
      <c r="AO117" t="str">
        <v>Cash</v>
      </c>
      <c r="AP117" t="str">
        <v>Cancelled</v>
      </c>
      <c r="AQ117" t="str">
        <v>TRK91642337</v>
      </c>
      <c r="AR117">
        <v>3</v>
      </c>
      <c r="AS117" t="str">
        <v>SAVE10</v>
      </c>
      <c r="AT117" t="str">
        <v>Facebook</v>
      </c>
      <c r="AU117">
        <v>877.24</v>
      </c>
    </row>
    <row r="118" spans="1:47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AH118" t="str">
        <v>ORD200484</v>
      </c>
      <c r="AI118">
        <v>45441</v>
      </c>
      <c r="AJ118" t="str">
        <v>C29092</v>
      </c>
      <c r="AK118" t="str">
        <v>Chair</v>
      </c>
      <c r="AL118">
        <v>4</v>
      </c>
      <c r="AM118">
        <v>15.01</v>
      </c>
      <c r="AN118" t="str">
        <v>767 Main St</v>
      </c>
      <c r="AO118" t="str">
        <v>Cash</v>
      </c>
      <c r="AP118" t="str">
        <v>Cancelled</v>
      </c>
      <c r="AQ118" t="str">
        <v>TRK90455340</v>
      </c>
      <c r="AR118">
        <v>6</v>
      </c>
      <c r="AS118">
        <v>0</v>
      </c>
      <c r="AT118" t="str">
        <v>Facebook</v>
      </c>
      <c r="AU118">
        <v>60.04</v>
      </c>
    </row>
    <row r="119" spans="1:47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AH119" t="str">
        <v>ORD200488</v>
      </c>
      <c r="AI119">
        <v>45631</v>
      </c>
      <c r="AJ119" t="str">
        <v>C81573</v>
      </c>
      <c r="AK119" t="str">
        <v>Chair</v>
      </c>
      <c r="AL119">
        <v>1</v>
      </c>
      <c r="AM119">
        <v>36.65</v>
      </c>
      <c r="AN119" t="str">
        <v>556 Main St</v>
      </c>
      <c r="AO119" t="str">
        <v>Online</v>
      </c>
      <c r="AP119" t="str">
        <v>Cancelled</v>
      </c>
      <c r="AQ119" t="str">
        <v>TRK96522994</v>
      </c>
      <c r="AR119">
        <v>1</v>
      </c>
      <c r="AS119" t="str">
        <v>WINTER15</v>
      </c>
      <c r="AT119" t="str">
        <v>Email</v>
      </c>
      <c r="AU119">
        <v>36.65</v>
      </c>
    </row>
    <row r="120" spans="1:47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AH120" t="str">
        <v>ORD200489</v>
      </c>
      <c r="AI120">
        <v>45174</v>
      </c>
      <c r="AJ120" t="str">
        <v>C11940</v>
      </c>
      <c r="AK120" t="str">
        <v>Tablet</v>
      </c>
      <c r="AL120">
        <v>3</v>
      </c>
      <c r="AM120">
        <v>149.34</v>
      </c>
      <c r="AN120" t="str">
        <v>589 Main St</v>
      </c>
      <c r="AO120" t="str">
        <v>Gift Card</v>
      </c>
      <c r="AP120" t="str">
        <v>Cancelled</v>
      </c>
      <c r="AQ120" t="str">
        <v>TRK85466461</v>
      </c>
      <c r="AR120">
        <v>7</v>
      </c>
      <c r="AS120" t="str">
        <v>WINTER15</v>
      </c>
      <c r="AT120" t="str">
        <v>Email</v>
      </c>
      <c r="AU120">
        <v>448.02</v>
      </c>
    </row>
    <row r="121" spans="1:47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AH121" t="str">
        <v>ORD200490</v>
      </c>
      <c r="AI121">
        <v>45495</v>
      </c>
      <c r="AJ121" t="str">
        <v>C50097</v>
      </c>
      <c r="AK121" t="str">
        <v>Chair</v>
      </c>
      <c r="AL121">
        <v>5</v>
      </c>
      <c r="AM121">
        <v>467.81</v>
      </c>
      <c r="AN121" t="str">
        <v>539 Main St</v>
      </c>
      <c r="AO121" t="str">
        <v>Online</v>
      </c>
      <c r="AP121" t="str">
        <v>Cancelled</v>
      </c>
      <c r="AQ121" t="str">
        <v>TRK62785150</v>
      </c>
      <c r="AR121">
        <v>10</v>
      </c>
      <c r="AS121">
        <v>0</v>
      </c>
      <c r="AT121" t="str">
        <v>Facebook</v>
      </c>
      <c r="AU121">
        <v>2339.0500000000002</v>
      </c>
    </row>
    <row r="122" spans="1:47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AH122" t="str">
        <v>ORD200496</v>
      </c>
      <c r="AI122">
        <v>45730</v>
      </c>
      <c r="AJ122" t="str">
        <v>C93618</v>
      </c>
      <c r="AK122" t="str">
        <v>Printer</v>
      </c>
      <c r="AL122">
        <v>3</v>
      </c>
      <c r="AM122">
        <v>201.21</v>
      </c>
      <c r="AN122" t="str">
        <v>249 Main St</v>
      </c>
      <c r="AO122" t="str">
        <v>Online</v>
      </c>
      <c r="AP122" t="str">
        <v>Cancelled</v>
      </c>
      <c r="AQ122" t="str">
        <v>TRK66129326</v>
      </c>
      <c r="AR122">
        <v>3</v>
      </c>
      <c r="AS122" t="str">
        <v>SAVE10</v>
      </c>
      <c r="AT122" t="str">
        <v>Google</v>
      </c>
      <c r="AU122">
        <v>603.63</v>
      </c>
    </row>
    <row r="123" spans="1:47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AH123" t="str">
        <v>ORD200504</v>
      </c>
      <c r="AI123">
        <v>45819</v>
      </c>
      <c r="AJ123" t="str">
        <v>C11676</v>
      </c>
      <c r="AK123" t="str">
        <v>Monitor</v>
      </c>
      <c r="AL123">
        <v>2</v>
      </c>
      <c r="AM123">
        <v>464.5</v>
      </c>
      <c r="AN123" t="str">
        <v>805 Main St</v>
      </c>
      <c r="AO123" t="str">
        <v>Online</v>
      </c>
      <c r="AP123" t="str">
        <v>Cancelled</v>
      </c>
      <c r="AQ123" t="str">
        <v>TRK35726395</v>
      </c>
      <c r="AR123">
        <v>2</v>
      </c>
      <c r="AS123" t="str">
        <v>WINTER15</v>
      </c>
      <c r="AT123" t="str">
        <v>Instagram</v>
      </c>
      <c r="AU123">
        <v>929</v>
      </c>
    </row>
    <row r="124" spans="1:47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  <c r="AH124" t="str">
        <v>ORD200517</v>
      </c>
      <c r="AI124">
        <v>45391</v>
      </c>
      <c r="AJ124" t="str">
        <v>C55205</v>
      </c>
      <c r="AK124" t="str">
        <v>Tablet</v>
      </c>
      <c r="AL124">
        <v>4</v>
      </c>
      <c r="AM124">
        <v>198.35</v>
      </c>
      <c r="AN124" t="str">
        <v>943 Main St</v>
      </c>
      <c r="AO124" t="str">
        <v>Cash</v>
      </c>
      <c r="AP124" t="str">
        <v>Cancelled</v>
      </c>
      <c r="AQ124" t="str">
        <v>TRK88141634</v>
      </c>
      <c r="AR124">
        <v>7</v>
      </c>
      <c r="AS124" t="str">
        <v>FREESHIP</v>
      </c>
      <c r="AT124" t="str">
        <v>Google</v>
      </c>
      <c r="AU124">
        <v>793.4</v>
      </c>
    </row>
    <row r="125" spans="1:47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  <c r="AH125" t="str">
        <v>ORD200522</v>
      </c>
      <c r="AI125">
        <v>45402</v>
      </c>
      <c r="AJ125" t="str">
        <v>C66254</v>
      </c>
      <c r="AK125" t="str">
        <v>Chair</v>
      </c>
      <c r="AL125">
        <v>1</v>
      </c>
      <c r="AM125">
        <v>515.32000000000005</v>
      </c>
      <c r="AN125" t="str">
        <v>740 Main St</v>
      </c>
      <c r="AO125" t="str">
        <v>Gift Card</v>
      </c>
      <c r="AP125" t="str">
        <v>Cancelled</v>
      </c>
      <c r="AQ125" t="str">
        <v>TRK82843861</v>
      </c>
      <c r="AR125">
        <v>1</v>
      </c>
      <c r="AS125" t="str">
        <v>FREESHIP</v>
      </c>
      <c r="AT125" t="str">
        <v>Email</v>
      </c>
      <c r="AU125">
        <v>515.32000000000005</v>
      </c>
    </row>
    <row r="126" spans="1:47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  <c r="AH126" t="str">
        <v>ORD200527</v>
      </c>
      <c r="AI126">
        <v>45523</v>
      </c>
      <c r="AJ126" t="str">
        <v>C27202</v>
      </c>
      <c r="AK126" t="str">
        <v>Chair</v>
      </c>
      <c r="AL126">
        <v>5</v>
      </c>
      <c r="AM126">
        <v>653.47</v>
      </c>
      <c r="AN126" t="str">
        <v>967 Main St</v>
      </c>
      <c r="AO126" t="str">
        <v>Credit Card</v>
      </c>
      <c r="AP126" t="str">
        <v>Cancelled</v>
      </c>
      <c r="AQ126" t="str">
        <v>TRK75406128</v>
      </c>
      <c r="AR126">
        <v>10</v>
      </c>
      <c r="AS126" t="str">
        <v>SAVE10</v>
      </c>
      <c r="AT126" t="str">
        <v>Referral</v>
      </c>
      <c r="AU126">
        <v>3267.35</v>
      </c>
    </row>
    <row r="127" spans="1:47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AH127" t="str">
        <v>ORD200534</v>
      </c>
      <c r="AI127">
        <v>45449</v>
      </c>
      <c r="AJ127" t="str">
        <v>C73289</v>
      </c>
      <c r="AK127" t="str">
        <v>Chair</v>
      </c>
      <c r="AL127">
        <v>3</v>
      </c>
      <c r="AM127">
        <v>648.59</v>
      </c>
      <c r="AN127" t="str">
        <v>906 Main St</v>
      </c>
      <c r="AO127" t="str">
        <v>Debit Card</v>
      </c>
      <c r="AP127" t="str">
        <v>Cancelled</v>
      </c>
      <c r="AQ127" t="str">
        <v>TRK70872738</v>
      </c>
      <c r="AR127">
        <v>4</v>
      </c>
      <c r="AS127" t="str">
        <v>SAVE10</v>
      </c>
      <c r="AT127" t="str">
        <v>Email</v>
      </c>
      <c r="AU127">
        <v>1945.77</v>
      </c>
    </row>
    <row r="128" spans="1:47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AH128" t="str">
        <v>ORD200535</v>
      </c>
      <c r="AI128">
        <v>45497</v>
      </c>
      <c r="AJ128" t="str">
        <v>C48649</v>
      </c>
      <c r="AK128" t="str">
        <v>Monitor</v>
      </c>
      <c r="AL128">
        <v>3</v>
      </c>
      <c r="AM128">
        <v>68.12</v>
      </c>
      <c r="AN128" t="str">
        <v>332 Main St</v>
      </c>
      <c r="AO128" t="str">
        <v>Online</v>
      </c>
      <c r="AP128" t="str">
        <v>Cancelled</v>
      </c>
      <c r="AQ128" t="str">
        <v>TRK45821445</v>
      </c>
      <c r="AR128">
        <v>3</v>
      </c>
      <c r="AS128" t="str">
        <v>FREESHIP</v>
      </c>
      <c r="AT128" t="str">
        <v>Email</v>
      </c>
      <c r="AU128">
        <v>204.36</v>
      </c>
    </row>
    <row r="129" spans="1:47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  <c r="AH129" t="str">
        <v>ORD200542</v>
      </c>
      <c r="AI129">
        <v>45244</v>
      </c>
      <c r="AJ129" t="str">
        <v>C49726</v>
      </c>
      <c r="AK129" t="str">
        <v>Tablet</v>
      </c>
      <c r="AL129">
        <v>1</v>
      </c>
      <c r="AM129">
        <v>17.98</v>
      </c>
      <c r="AN129" t="str">
        <v>934 Main St</v>
      </c>
      <c r="AO129" t="str">
        <v>Cash</v>
      </c>
      <c r="AP129" t="str">
        <v>Cancelled</v>
      </c>
      <c r="AQ129" t="str">
        <v>TRK20739460</v>
      </c>
      <c r="AR129">
        <v>6</v>
      </c>
      <c r="AS129" t="str">
        <v>FREESHIP</v>
      </c>
      <c r="AT129" t="str">
        <v>Email</v>
      </c>
      <c r="AU129">
        <v>17.98</v>
      </c>
    </row>
    <row r="130" spans="1:47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AH130" t="str">
        <v>ORD200549</v>
      </c>
      <c r="AI130">
        <v>45713</v>
      </c>
      <c r="AJ130" t="str">
        <v>C34266</v>
      </c>
      <c r="AK130" t="str">
        <v>Monitor</v>
      </c>
      <c r="AL130">
        <v>4</v>
      </c>
      <c r="AM130">
        <v>629.88</v>
      </c>
      <c r="AN130" t="str">
        <v>550 Main St</v>
      </c>
      <c r="AO130" t="str">
        <v>Debit Card</v>
      </c>
      <c r="AP130" t="str">
        <v>Cancelled</v>
      </c>
      <c r="AQ130" t="str">
        <v>TRK56378197</v>
      </c>
      <c r="AR130">
        <v>8</v>
      </c>
      <c r="AS130" t="str">
        <v>WINTER15</v>
      </c>
      <c r="AT130" t="str">
        <v>Instagram</v>
      </c>
      <c r="AU130">
        <v>2519.52</v>
      </c>
    </row>
    <row r="131" spans="1:47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AH131" t="str">
        <v>ORD200553</v>
      </c>
      <c r="AI131">
        <v>45161</v>
      </c>
      <c r="AJ131" t="str">
        <v>C82550</v>
      </c>
      <c r="AK131" t="str">
        <v>Phone</v>
      </c>
      <c r="AL131">
        <v>2</v>
      </c>
      <c r="AM131">
        <v>333.83</v>
      </c>
      <c r="AN131" t="str">
        <v>828 Main St</v>
      </c>
      <c r="AO131" t="str">
        <v>Gift Card</v>
      </c>
      <c r="AP131" t="str">
        <v>Cancelled</v>
      </c>
      <c r="AQ131" t="str">
        <v>TRK74103758</v>
      </c>
      <c r="AR131">
        <v>4</v>
      </c>
      <c r="AS131" t="str">
        <v>FREESHIP</v>
      </c>
      <c r="AT131" t="str">
        <v>Referral</v>
      </c>
      <c r="AU131">
        <v>667.66</v>
      </c>
    </row>
    <row r="132" spans="1:47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AH132" t="str">
        <v>ORD200559</v>
      </c>
      <c r="AI132">
        <v>45397</v>
      </c>
      <c r="AJ132" t="str">
        <v>C22981</v>
      </c>
      <c r="AK132" t="str">
        <v>Desk</v>
      </c>
      <c r="AL132">
        <v>3</v>
      </c>
      <c r="AM132">
        <v>157.4</v>
      </c>
      <c r="AN132" t="str">
        <v>454 Main St</v>
      </c>
      <c r="AO132" t="str">
        <v>Debit Card</v>
      </c>
      <c r="AP132" t="str">
        <v>Cancelled</v>
      </c>
      <c r="AQ132" t="str">
        <v>TRK10115285</v>
      </c>
      <c r="AR132">
        <v>7</v>
      </c>
      <c r="AS132" t="str">
        <v>WINTER15</v>
      </c>
      <c r="AT132" t="str">
        <v>Email</v>
      </c>
      <c r="AU132">
        <v>472.2</v>
      </c>
    </row>
    <row r="133" spans="1:47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  <c r="AH133" t="str">
        <v>ORD200564</v>
      </c>
      <c r="AI133">
        <v>45755</v>
      </c>
      <c r="AJ133" t="str">
        <v>C93309</v>
      </c>
      <c r="AK133" t="str">
        <v>Desk</v>
      </c>
      <c r="AL133">
        <v>5</v>
      </c>
      <c r="AM133">
        <v>364.28</v>
      </c>
      <c r="AN133" t="str">
        <v>734 Main St</v>
      </c>
      <c r="AO133" t="str">
        <v>Credit Card</v>
      </c>
      <c r="AP133" t="str">
        <v>Cancelled</v>
      </c>
      <c r="AQ133" t="str">
        <v>TRK99446987</v>
      </c>
      <c r="AR133">
        <v>5</v>
      </c>
      <c r="AS133" t="str">
        <v>WINTER15</v>
      </c>
      <c r="AT133" t="str">
        <v>Google</v>
      </c>
      <c r="AU133">
        <v>1821.4</v>
      </c>
    </row>
    <row r="134" spans="1:47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AH134" t="str">
        <v>ORD200566</v>
      </c>
      <c r="AI134">
        <v>45400</v>
      </c>
      <c r="AJ134" t="str">
        <v>C83223</v>
      </c>
      <c r="AK134" t="str">
        <v>Phone</v>
      </c>
      <c r="AL134">
        <v>4</v>
      </c>
      <c r="AM134">
        <v>162.71</v>
      </c>
      <c r="AN134" t="str">
        <v>167 Main St</v>
      </c>
      <c r="AO134" t="str">
        <v>Cash</v>
      </c>
      <c r="AP134" t="str">
        <v>Cancelled</v>
      </c>
      <c r="AQ134" t="str">
        <v>TRK54339083</v>
      </c>
      <c r="AR134">
        <v>7</v>
      </c>
      <c r="AS134" t="str">
        <v>FREESHIP</v>
      </c>
      <c r="AT134" t="str">
        <v>Email</v>
      </c>
      <c r="AU134">
        <v>650.84</v>
      </c>
    </row>
    <row r="135" spans="1:47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AH135" t="str">
        <v>ORD200573</v>
      </c>
      <c r="AI135">
        <v>44951</v>
      </c>
      <c r="AJ135" t="str">
        <v>C13205</v>
      </c>
      <c r="AK135" t="str">
        <v>Chair</v>
      </c>
      <c r="AL135">
        <v>5</v>
      </c>
      <c r="AM135">
        <v>421.42</v>
      </c>
      <c r="AN135" t="str">
        <v>522 Main St</v>
      </c>
      <c r="AO135" t="str">
        <v>Debit Card</v>
      </c>
      <c r="AP135" t="str">
        <v>Cancelled</v>
      </c>
      <c r="AQ135" t="str">
        <v>TRK30686578</v>
      </c>
      <c r="AR135">
        <v>7</v>
      </c>
      <c r="AS135">
        <v>0</v>
      </c>
      <c r="AT135" t="str">
        <v>Instagram</v>
      </c>
      <c r="AU135">
        <v>2107.1</v>
      </c>
    </row>
    <row r="136" spans="1:47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  <c r="AH136" t="str">
        <v>ORD200594</v>
      </c>
      <c r="AI136">
        <v>45343</v>
      </c>
      <c r="AJ136" t="str">
        <v>C40140</v>
      </c>
      <c r="AK136" t="str">
        <v>Phone</v>
      </c>
      <c r="AL136">
        <v>5</v>
      </c>
      <c r="AM136">
        <v>72.64</v>
      </c>
      <c r="AN136" t="str">
        <v>598 Main St</v>
      </c>
      <c r="AO136" t="str">
        <v>Credit Card</v>
      </c>
      <c r="AP136" t="str">
        <v>Cancelled</v>
      </c>
      <c r="AQ136" t="str">
        <v>TRK12671989</v>
      </c>
      <c r="AR136">
        <v>7</v>
      </c>
      <c r="AS136">
        <v>0</v>
      </c>
      <c r="AT136" t="str">
        <v>Email</v>
      </c>
      <c r="AU136">
        <v>363.2</v>
      </c>
    </row>
    <row r="137" spans="1:47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AH137" t="str">
        <v>ORD200597</v>
      </c>
      <c r="AI137">
        <v>45621</v>
      </c>
      <c r="AJ137" t="str">
        <v>C40538</v>
      </c>
      <c r="AK137" t="str">
        <v>Desk</v>
      </c>
      <c r="AL137">
        <v>2</v>
      </c>
      <c r="AM137">
        <v>211.82</v>
      </c>
      <c r="AN137" t="str">
        <v>700 Main St</v>
      </c>
      <c r="AO137" t="str">
        <v>Gift Card</v>
      </c>
      <c r="AP137" t="str">
        <v>Cancelled</v>
      </c>
      <c r="AQ137" t="str">
        <v>TRK29821356</v>
      </c>
      <c r="AR137">
        <v>4</v>
      </c>
      <c r="AS137" t="str">
        <v>WINTER15</v>
      </c>
      <c r="AT137" t="str">
        <v>Email</v>
      </c>
      <c r="AU137">
        <v>423.64</v>
      </c>
    </row>
    <row r="138" spans="1:47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AH138" t="str">
        <v>ORD200599</v>
      </c>
      <c r="AI138">
        <v>45107</v>
      </c>
      <c r="AJ138" t="str">
        <v>C28740</v>
      </c>
      <c r="AK138" t="str">
        <v>Chair</v>
      </c>
      <c r="AL138">
        <v>3</v>
      </c>
      <c r="AM138">
        <v>556.99</v>
      </c>
      <c r="AN138" t="str">
        <v>123 Main St</v>
      </c>
      <c r="AO138" t="str">
        <v>Online</v>
      </c>
      <c r="AP138" t="str">
        <v>Cancelled</v>
      </c>
      <c r="AQ138" t="str">
        <v>TRK33642221</v>
      </c>
      <c r="AR138">
        <v>4</v>
      </c>
      <c r="AS138" t="str">
        <v>FREESHIP</v>
      </c>
      <c r="AT138" t="str">
        <v>Facebook</v>
      </c>
      <c r="AU138">
        <v>1670.97</v>
      </c>
    </row>
    <row r="139" spans="1:47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  <c r="AH139" t="str">
        <v>ORD200600</v>
      </c>
      <c r="AI139">
        <v>45072</v>
      </c>
      <c r="AJ139" t="str">
        <v>C87051</v>
      </c>
      <c r="AK139" t="str">
        <v>Printer</v>
      </c>
      <c r="AL139">
        <v>1</v>
      </c>
      <c r="AM139">
        <v>72.31</v>
      </c>
      <c r="AN139" t="str">
        <v>460 Main St</v>
      </c>
      <c r="AO139" t="str">
        <v>Gift Card</v>
      </c>
      <c r="AP139" t="str">
        <v>Cancelled</v>
      </c>
      <c r="AQ139" t="str">
        <v>TRK82056333</v>
      </c>
      <c r="AR139">
        <v>1</v>
      </c>
      <c r="AS139" t="str">
        <v>FREESHIP</v>
      </c>
      <c r="AT139" t="str">
        <v>Facebook</v>
      </c>
      <c r="AU139">
        <v>72.31</v>
      </c>
    </row>
    <row r="140" spans="1:47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AH140" t="str">
        <v>ORD200606</v>
      </c>
      <c r="AI140">
        <v>45602</v>
      </c>
      <c r="AJ140" t="str">
        <v>C85018</v>
      </c>
      <c r="AK140" t="str">
        <v>Laptop</v>
      </c>
      <c r="AL140">
        <v>3</v>
      </c>
      <c r="AM140">
        <v>274.75</v>
      </c>
      <c r="AN140" t="str">
        <v>783 Main St</v>
      </c>
      <c r="AO140" t="str">
        <v>Cash</v>
      </c>
      <c r="AP140" t="str">
        <v>Cancelled</v>
      </c>
      <c r="AQ140" t="str">
        <v>TRK54128886</v>
      </c>
      <c r="AR140">
        <v>3</v>
      </c>
      <c r="AS140" t="str">
        <v>SAVE10</v>
      </c>
      <c r="AT140" t="str">
        <v>Google</v>
      </c>
      <c r="AU140">
        <v>824.25</v>
      </c>
    </row>
    <row r="141" spans="1:47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  <c r="AH141" t="str">
        <v>ORD200608</v>
      </c>
      <c r="AI141">
        <v>45497</v>
      </c>
      <c r="AJ141" t="str">
        <v>C32956</v>
      </c>
      <c r="AK141" t="str">
        <v>Laptop</v>
      </c>
      <c r="AL141">
        <v>5</v>
      </c>
      <c r="AM141">
        <v>543.16</v>
      </c>
      <c r="AN141" t="str">
        <v>788 Main St</v>
      </c>
      <c r="AO141" t="str">
        <v>Online</v>
      </c>
      <c r="AP141" t="str">
        <v>Cancelled</v>
      </c>
      <c r="AQ141" t="str">
        <v>TRK73140103</v>
      </c>
      <c r="AR141">
        <v>6</v>
      </c>
      <c r="AS141" t="str">
        <v>SAVE10</v>
      </c>
      <c r="AT141" t="str">
        <v>Instagram</v>
      </c>
      <c r="AU141">
        <v>2715.8</v>
      </c>
    </row>
    <row r="142" spans="1:47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AH142" t="str">
        <v>ORD200612</v>
      </c>
      <c r="AI142">
        <v>45079</v>
      </c>
      <c r="AJ142" t="str">
        <v>C51811</v>
      </c>
      <c r="AK142" t="str">
        <v>Chair</v>
      </c>
      <c r="AL142">
        <v>3</v>
      </c>
      <c r="AM142">
        <v>445.12</v>
      </c>
      <c r="AN142" t="str">
        <v>339 Main St</v>
      </c>
      <c r="AO142" t="str">
        <v>Gift Card</v>
      </c>
      <c r="AP142" t="str">
        <v>Cancelled</v>
      </c>
      <c r="AQ142" t="str">
        <v>TRK82377939</v>
      </c>
      <c r="AR142">
        <v>8</v>
      </c>
      <c r="AS142">
        <v>0</v>
      </c>
      <c r="AT142" t="str">
        <v>Google</v>
      </c>
      <c r="AU142">
        <v>1335.36</v>
      </c>
    </row>
    <row r="143" spans="1:47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AH143" t="str">
        <v>ORD200614</v>
      </c>
      <c r="AI143">
        <v>45359</v>
      </c>
      <c r="AJ143" t="str">
        <v>C77363</v>
      </c>
      <c r="AK143" t="str">
        <v>Phone</v>
      </c>
      <c r="AL143">
        <v>1</v>
      </c>
      <c r="AM143">
        <v>96.81</v>
      </c>
      <c r="AN143" t="str">
        <v>807 Main St</v>
      </c>
      <c r="AO143" t="str">
        <v>Gift Card</v>
      </c>
      <c r="AP143" t="str">
        <v>Cancelled</v>
      </c>
      <c r="AQ143" t="str">
        <v>TRK12439827</v>
      </c>
      <c r="AR143">
        <v>3</v>
      </c>
      <c r="AS143">
        <v>0</v>
      </c>
      <c r="AT143" t="str">
        <v>Referral</v>
      </c>
      <c r="AU143">
        <v>96.81</v>
      </c>
    </row>
    <row r="144" spans="1:47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AH144" t="str">
        <v>ORD200616</v>
      </c>
      <c r="AI144">
        <v>45582</v>
      </c>
      <c r="AJ144" t="str">
        <v>C43919</v>
      </c>
      <c r="AK144" t="str">
        <v>Tablet</v>
      </c>
      <c r="AL144">
        <v>3</v>
      </c>
      <c r="AM144">
        <v>601.6</v>
      </c>
      <c r="AN144" t="str">
        <v>984 Main St</v>
      </c>
      <c r="AO144" t="str">
        <v>Credit Card</v>
      </c>
      <c r="AP144" t="str">
        <v>Cancelled</v>
      </c>
      <c r="AQ144" t="str">
        <v>TRK73113192</v>
      </c>
      <c r="AR144">
        <v>7</v>
      </c>
      <c r="AS144" t="str">
        <v>SAVE10</v>
      </c>
      <c r="AT144" t="str">
        <v>Facebook</v>
      </c>
      <c r="AU144">
        <v>1804.8</v>
      </c>
    </row>
    <row r="145" spans="1:47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  <c r="AH145" t="str">
        <v>ORD200617</v>
      </c>
      <c r="AI145">
        <v>45330</v>
      </c>
      <c r="AJ145" t="str">
        <v>C57093</v>
      </c>
      <c r="AK145" t="str">
        <v>Tablet</v>
      </c>
      <c r="AL145">
        <v>3</v>
      </c>
      <c r="AM145">
        <v>184.47</v>
      </c>
      <c r="AN145" t="str">
        <v>834 Main St</v>
      </c>
      <c r="AO145" t="str">
        <v>Online</v>
      </c>
      <c r="AP145" t="str">
        <v>Cancelled</v>
      </c>
      <c r="AQ145" t="str">
        <v>TRK75469057</v>
      </c>
      <c r="AR145">
        <v>4</v>
      </c>
      <c r="AS145">
        <v>0</v>
      </c>
      <c r="AT145" t="str">
        <v>Referral</v>
      </c>
      <c r="AU145">
        <v>553.41</v>
      </c>
    </row>
    <row r="146" spans="1:47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  <c r="AH146" t="str">
        <v>ORD200623</v>
      </c>
      <c r="AI146">
        <v>45093</v>
      </c>
      <c r="AJ146" t="str">
        <v>C91941</v>
      </c>
      <c r="AK146" t="str">
        <v>Printer</v>
      </c>
      <c r="AL146">
        <v>3</v>
      </c>
      <c r="AM146">
        <v>396</v>
      </c>
      <c r="AN146" t="str">
        <v>269 Main St</v>
      </c>
      <c r="AO146" t="str">
        <v>Gift Card</v>
      </c>
      <c r="AP146" t="str">
        <v>Cancelled</v>
      </c>
      <c r="AQ146" t="str">
        <v>TRK21330732</v>
      </c>
      <c r="AR146">
        <v>4</v>
      </c>
      <c r="AS146" t="str">
        <v>FREESHIP</v>
      </c>
      <c r="AT146" t="str">
        <v>Instagram</v>
      </c>
      <c r="AU146">
        <v>1188</v>
      </c>
    </row>
    <row r="147" spans="1:47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AH147" t="str">
        <v>ORD200630</v>
      </c>
      <c r="AI147">
        <v>45100</v>
      </c>
      <c r="AJ147" t="str">
        <v>C51481</v>
      </c>
      <c r="AK147" t="str">
        <v>Monitor</v>
      </c>
      <c r="AL147">
        <v>5</v>
      </c>
      <c r="AM147">
        <v>248.84</v>
      </c>
      <c r="AN147" t="str">
        <v>140 Main St</v>
      </c>
      <c r="AO147" t="str">
        <v>Debit Card</v>
      </c>
      <c r="AP147" t="str">
        <v>Cancelled</v>
      </c>
      <c r="AQ147" t="str">
        <v>TRK33437701</v>
      </c>
      <c r="AR147">
        <v>10</v>
      </c>
      <c r="AS147">
        <v>0</v>
      </c>
      <c r="AT147" t="str">
        <v>Instagram</v>
      </c>
      <c r="AU147">
        <v>1244.2</v>
      </c>
    </row>
    <row r="148" spans="1:47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  <c r="AH148" t="str">
        <v>ORD200633</v>
      </c>
      <c r="AI148">
        <v>45392</v>
      </c>
      <c r="AJ148" t="str">
        <v>C79533</v>
      </c>
      <c r="AK148" t="str">
        <v>Laptop</v>
      </c>
      <c r="AL148">
        <v>5</v>
      </c>
      <c r="AM148">
        <v>601.72</v>
      </c>
      <c r="AN148" t="str">
        <v>921 Main St</v>
      </c>
      <c r="AO148" t="str">
        <v>Gift Card</v>
      </c>
      <c r="AP148" t="str">
        <v>Cancelled</v>
      </c>
      <c r="AQ148" t="str">
        <v>TRK54711422</v>
      </c>
      <c r="AR148">
        <v>5</v>
      </c>
      <c r="AS148" t="str">
        <v>WINTER15</v>
      </c>
      <c r="AT148" t="str">
        <v>Instagram</v>
      </c>
      <c r="AU148">
        <v>3008.6</v>
      </c>
    </row>
    <row r="149" spans="1:47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AH149" t="str">
        <v>ORD200636</v>
      </c>
      <c r="AI149">
        <v>45204</v>
      </c>
      <c r="AJ149" t="str">
        <v>C60384</v>
      </c>
      <c r="AK149" t="str">
        <v>Laptop</v>
      </c>
      <c r="AL149">
        <v>4</v>
      </c>
      <c r="AM149">
        <v>371.07</v>
      </c>
      <c r="AN149" t="str">
        <v>336 Main St</v>
      </c>
      <c r="AO149" t="str">
        <v>Cash</v>
      </c>
      <c r="AP149" t="str">
        <v>Cancelled</v>
      </c>
      <c r="AQ149" t="str">
        <v>TRK92080037</v>
      </c>
      <c r="AR149">
        <v>7</v>
      </c>
      <c r="AS149" t="str">
        <v>WINTER15</v>
      </c>
      <c r="AT149" t="str">
        <v>Facebook</v>
      </c>
      <c r="AU149">
        <v>1484.28</v>
      </c>
    </row>
    <row r="150" spans="1:47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AH150" t="str">
        <v>ORD200639</v>
      </c>
      <c r="AI150">
        <v>44946</v>
      </c>
      <c r="AJ150" t="str">
        <v>C22534</v>
      </c>
      <c r="AK150" t="str">
        <v>Chair</v>
      </c>
      <c r="AL150">
        <v>1</v>
      </c>
      <c r="AM150">
        <v>529.19000000000005</v>
      </c>
      <c r="AN150" t="str">
        <v>391 Main St</v>
      </c>
      <c r="AO150" t="str">
        <v>Cash</v>
      </c>
      <c r="AP150" t="str">
        <v>Cancelled</v>
      </c>
      <c r="AQ150" t="str">
        <v>TRK17415798</v>
      </c>
      <c r="AR150">
        <v>5</v>
      </c>
      <c r="AS150">
        <v>0</v>
      </c>
      <c r="AT150" t="str">
        <v>Referral</v>
      </c>
      <c r="AU150">
        <v>529.19000000000005</v>
      </c>
    </row>
    <row r="151" spans="1:47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  <c r="AH151" t="str">
        <v>ORD200642</v>
      </c>
      <c r="AI151">
        <v>45411</v>
      </c>
      <c r="AJ151" t="str">
        <v>C15063</v>
      </c>
      <c r="AK151" t="str">
        <v>Chair</v>
      </c>
      <c r="AL151">
        <v>5</v>
      </c>
      <c r="AM151">
        <v>85.22</v>
      </c>
      <c r="AN151" t="str">
        <v>527 Main St</v>
      </c>
      <c r="AO151" t="str">
        <v>Credit Card</v>
      </c>
      <c r="AP151" t="str">
        <v>Cancelled</v>
      </c>
      <c r="AQ151" t="str">
        <v>TRK10329390</v>
      </c>
      <c r="AR151">
        <v>7</v>
      </c>
      <c r="AS151" t="str">
        <v>FREESHIP</v>
      </c>
      <c r="AT151" t="str">
        <v>Email</v>
      </c>
      <c r="AU151">
        <v>426.1</v>
      </c>
    </row>
    <row r="152" spans="1:47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AH152" t="str">
        <v>ORD200643</v>
      </c>
      <c r="AI152">
        <v>45530</v>
      </c>
      <c r="AJ152" t="str">
        <v>C77122</v>
      </c>
      <c r="AK152" t="str">
        <v>Laptop</v>
      </c>
      <c r="AL152">
        <v>1</v>
      </c>
      <c r="AM152">
        <v>438.37</v>
      </c>
      <c r="AN152" t="str">
        <v>647 Main St</v>
      </c>
      <c r="AO152" t="str">
        <v>Cash</v>
      </c>
      <c r="AP152" t="str">
        <v>Cancelled</v>
      </c>
      <c r="AQ152" t="str">
        <v>TRK75814880</v>
      </c>
      <c r="AR152">
        <v>4</v>
      </c>
      <c r="AS152" t="str">
        <v>SAVE10</v>
      </c>
      <c r="AT152" t="str">
        <v>Referral</v>
      </c>
      <c r="AU152">
        <v>438.37</v>
      </c>
    </row>
    <row r="153" spans="1:47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  <c r="AH153" t="str">
        <v>ORD200645</v>
      </c>
      <c r="AI153">
        <v>44928</v>
      </c>
      <c r="AJ153" t="str">
        <v>C82990</v>
      </c>
      <c r="AK153" t="str">
        <v>Laptop</v>
      </c>
      <c r="AL153">
        <v>2</v>
      </c>
      <c r="AM153">
        <v>150.05000000000001</v>
      </c>
      <c r="AN153" t="str">
        <v>727 Main St</v>
      </c>
      <c r="AO153" t="str">
        <v>Credit Card</v>
      </c>
      <c r="AP153" t="str">
        <v>Cancelled</v>
      </c>
      <c r="AQ153" t="str">
        <v>TRK68574801</v>
      </c>
      <c r="AR153">
        <v>4</v>
      </c>
      <c r="AS153" t="str">
        <v>SAVE10</v>
      </c>
      <c r="AT153" t="str">
        <v>Facebook</v>
      </c>
      <c r="AU153">
        <v>300.10000000000002</v>
      </c>
    </row>
    <row r="154" spans="1:47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AH154" t="str">
        <v>ORD200655</v>
      </c>
      <c r="AI154">
        <v>44999</v>
      </c>
      <c r="AJ154" t="str">
        <v>C22101</v>
      </c>
      <c r="AK154" t="str">
        <v>Chair</v>
      </c>
      <c r="AL154">
        <v>2</v>
      </c>
      <c r="AM154">
        <v>132.6</v>
      </c>
      <c r="AN154" t="str">
        <v>262 Main St</v>
      </c>
      <c r="AO154" t="str">
        <v>Debit Card</v>
      </c>
      <c r="AP154" t="str">
        <v>Cancelled</v>
      </c>
      <c r="AQ154" t="str">
        <v>TRK70711522</v>
      </c>
      <c r="AR154">
        <v>4</v>
      </c>
      <c r="AS154" t="str">
        <v>WINTER15</v>
      </c>
      <c r="AT154" t="str">
        <v>Email</v>
      </c>
      <c r="AU154">
        <v>265.2</v>
      </c>
    </row>
    <row r="155" spans="1:47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AH155" t="str">
        <v>ORD200657</v>
      </c>
      <c r="AI155">
        <v>45284</v>
      </c>
      <c r="AJ155" t="str">
        <v>C19384</v>
      </c>
      <c r="AK155" t="str">
        <v>Tablet</v>
      </c>
      <c r="AL155">
        <v>4</v>
      </c>
      <c r="AM155">
        <v>87.79</v>
      </c>
      <c r="AN155" t="str">
        <v>532 Main St</v>
      </c>
      <c r="AO155" t="str">
        <v>Cash</v>
      </c>
      <c r="AP155" t="str">
        <v>Cancelled</v>
      </c>
      <c r="AQ155" t="str">
        <v>TRK33207064</v>
      </c>
      <c r="AR155">
        <v>6</v>
      </c>
      <c r="AS155" t="str">
        <v>FREESHIP</v>
      </c>
      <c r="AT155" t="str">
        <v>Instagram</v>
      </c>
      <c r="AU155">
        <v>351.16</v>
      </c>
    </row>
    <row r="156" spans="1:47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  <c r="AH156" t="str">
        <v>ORD200661</v>
      </c>
      <c r="AI156">
        <v>45716</v>
      </c>
      <c r="AJ156" t="str">
        <v>C63657</v>
      </c>
      <c r="AK156" t="str">
        <v>Tablet</v>
      </c>
      <c r="AL156">
        <v>3</v>
      </c>
      <c r="AM156">
        <v>424.89</v>
      </c>
      <c r="AN156" t="str">
        <v>116 Main St</v>
      </c>
      <c r="AO156" t="str">
        <v>Debit Card</v>
      </c>
      <c r="AP156" t="str">
        <v>Cancelled</v>
      </c>
      <c r="AQ156" t="str">
        <v>TRK86378984</v>
      </c>
      <c r="AR156">
        <v>6</v>
      </c>
      <c r="AS156" t="str">
        <v>FREESHIP</v>
      </c>
      <c r="AT156" t="str">
        <v>Google</v>
      </c>
      <c r="AU156">
        <v>1274.67</v>
      </c>
    </row>
    <row r="157" spans="1:47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AH157" t="str">
        <v>ORD200663</v>
      </c>
      <c r="AI157">
        <v>45397</v>
      </c>
      <c r="AJ157" t="str">
        <v>C59774</v>
      </c>
      <c r="AK157" t="str">
        <v>Monitor</v>
      </c>
      <c r="AL157">
        <v>1</v>
      </c>
      <c r="AM157">
        <v>72.599999999999994</v>
      </c>
      <c r="AN157" t="str">
        <v>941 Main St</v>
      </c>
      <c r="AO157" t="str">
        <v>Debit Card</v>
      </c>
      <c r="AP157" t="str">
        <v>Cancelled</v>
      </c>
      <c r="AQ157" t="str">
        <v>TRK87635135</v>
      </c>
      <c r="AR157">
        <v>6</v>
      </c>
      <c r="AS157" t="str">
        <v>FREESHIP</v>
      </c>
      <c r="AT157" t="str">
        <v>Instagram</v>
      </c>
      <c r="AU157">
        <v>72.599999999999994</v>
      </c>
    </row>
    <row r="158" spans="1:47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AH158" t="str">
        <v>ORD200666</v>
      </c>
      <c r="AI158">
        <v>45535</v>
      </c>
      <c r="AJ158" t="str">
        <v>C35711</v>
      </c>
      <c r="AK158" t="str">
        <v>Monitor</v>
      </c>
      <c r="AL158">
        <v>4</v>
      </c>
      <c r="AM158">
        <v>327.12</v>
      </c>
      <c r="AN158" t="str">
        <v>788 Main St</v>
      </c>
      <c r="AO158" t="str">
        <v>Credit Card</v>
      </c>
      <c r="AP158" t="str">
        <v>Cancelled</v>
      </c>
      <c r="AQ158" t="str">
        <v>TRK45281495</v>
      </c>
      <c r="AR158">
        <v>4</v>
      </c>
      <c r="AS158">
        <v>0</v>
      </c>
      <c r="AT158" t="str">
        <v>Email</v>
      </c>
      <c r="AU158">
        <v>1308.48</v>
      </c>
    </row>
    <row r="159" spans="1:47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AH159" t="str">
        <v>ORD200669</v>
      </c>
      <c r="AI159">
        <v>44962</v>
      </c>
      <c r="AJ159" t="str">
        <v>C60547</v>
      </c>
      <c r="AK159" t="str">
        <v>Desk</v>
      </c>
      <c r="AL159">
        <v>1</v>
      </c>
      <c r="AM159">
        <v>257</v>
      </c>
      <c r="AN159" t="str">
        <v>812 Main St</v>
      </c>
      <c r="AO159" t="str">
        <v>Debit Card</v>
      </c>
      <c r="AP159" t="str">
        <v>Cancelled</v>
      </c>
      <c r="AQ159" t="str">
        <v>TRK65694249</v>
      </c>
      <c r="AR159">
        <v>5</v>
      </c>
      <c r="AS159">
        <v>0</v>
      </c>
      <c r="AT159" t="str">
        <v>Referral</v>
      </c>
      <c r="AU159">
        <v>257</v>
      </c>
    </row>
    <row r="160" spans="1:47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AH160" t="str">
        <v>ORD200671</v>
      </c>
      <c r="AI160">
        <v>45092</v>
      </c>
      <c r="AJ160" t="str">
        <v>C49282</v>
      </c>
      <c r="AK160" t="str">
        <v>Chair</v>
      </c>
      <c r="AL160">
        <v>5</v>
      </c>
      <c r="AM160">
        <v>50.74</v>
      </c>
      <c r="AN160" t="str">
        <v>737 Main St</v>
      </c>
      <c r="AO160" t="str">
        <v>Gift Card</v>
      </c>
      <c r="AP160" t="str">
        <v>Cancelled</v>
      </c>
      <c r="AQ160" t="str">
        <v>TRK88653901</v>
      </c>
      <c r="AR160">
        <v>7</v>
      </c>
      <c r="AS160" t="str">
        <v>WINTER15</v>
      </c>
      <c r="AT160" t="str">
        <v>Google</v>
      </c>
      <c r="AU160">
        <v>253.7</v>
      </c>
    </row>
    <row r="161" spans="1:47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AH161" t="str">
        <v>ORD200676</v>
      </c>
      <c r="AI161">
        <v>45831</v>
      </c>
      <c r="AJ161" t="str">
        <v>C90431</v>
      </c>
      <c r="AK161" t="str">
        <v>Laptop</v>
      </c>
      <c r="AL161">
        <v>2</v>
      </c>
      <c r="AM161">
        <v>422.34</v>
      </c>
      <c r="AN161" t="str">
        <v>985 Main St</v>
      </c>
      <c r="AO161" t="str">
        <v>Credit Card</v>
      </c>
      <c r="AP161" t="str">
        <v>Cancelled</v>
      </c>
      <c r="AQ161" t="str">
        <v>TRK44151723</v>
      </c>
      <c r="AR161">
        <v>4</v>
      </c>
      <c r="AS161" t="str">
        <v>FREESHIP</v>
      </c>
      <c r="AT161" t="str">
        <v>Instagram</v>
      </c>
      <c r="AU161">
        <v>844.68</v>
      </c>
    </row>
    <row r="162" spans="1:47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  <c r="AH162" t="str">
        <v>ORD200677</v>
      </c>
      <c r="AI162">
        <v>45750</v>
      </c>
      <c r="AJ162" t="str">
        <v>C56722</v>
      </c>
      <c r="AK162" t="str">
        <v>Tablet</v>
      </c>
      <c r="AL162">
        <v>5</v>
      </c>
      <c r="AM162">
        <v>22.07</v>
      </c>
      <c r="AN162" t="str">
        <v>179 Main St</v>
      </c>
      <c r="AO162" t="str">
        <v>Online</v>
      </c>
      <c r="AP162" t="str">
        <v>Cancelled</v>
      </c>
      <c r="AQ162" t="str">
        <v>TRK78778569</v>
      </c>
      <c r="AR162">
        <v>7</v>
      </c>
      <c r="AS162" t="str">
        <v>FREESHIP</v>
      </c>
      <c r="AT162" t="str">
        <v>Instagram</v>
      </c>
      <c r="AU162">
        <v>110.35</v>
      </c>
    </row>
    <row r="163" spans="1:47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AH163" t="str">
        <v>ORD200682</v>
      </c>
      <c r="AI163">
        <v>45130</v>
      </c>
      <c r="AJ163" t="str">
        <v>C50274</v>
      </c>
      <c r="AK163" t="str">
        <v>Monitor</v>
      </c>
      <c r="AL163">
        <v>3</v>
      </c>
      <c r="AM163">
        <v>509.42</v>
      </c>
      <c r="AN163" t="str">
        <v>449 Main St</v>
      </c>
      <c r="AO163" t="str">
        <v>Credit Card</v>
      </c>
      <c r="AP163" t="str">
        <v>Cancelled</v>
      </c>
      <c r="AQ163" t="str">
        <v>TRK91729086</v>
      </c>
      <c r="AR163">
        <v>5</v>
      </c>
      <c r="AS163" t="str">
        <v>FREESHIP</v>
      </c>
      <c r="AT163" t="str">
        <v>Google</v>
      </c>
      <c r="AU163">
        <v>1528.26</v>
      </c>
    </row>
    <row r="164" spans="1:47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AH164" t="str">
        <v>ORD200688</v>
      </c>
      <c r="AI164">
        <v>45357</v>
      </c>
      <c r="AJ164" t="str">
        <v>C20077</v>
      </c>
      <c r="AK164" t="str">
        <v>Monitor</v>
      </c>
      <c r="AL164">
        <v>4</v>
      </c>
      <c r="AM164">
        <v>593.22</v>
      </c>
      <c r="AN164" t="str">
        <v>154 Main St</v>
      </c>
      <c r="AO164" t="str">
        <v>Credit Card</v>
      </c>
      <c r="AP164" t="str">
        <v>Cancelled</v>
      </c>
      <c r="AQ164" t="str">
        <v>TRK36415742</v>
      </c>
      <c r="AR164">
        <v>8</v>
      </c>
      <c r="AS164" t="str">
        <v>WINTER15</v>
      </c>
      <c r="AT164" t="str">
        <v>Facebook</v>
      </c>
      <c r="AU164">
        <v>2372.88</v>
      </c>
    </row>
    <row r="165" spans="1:47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  <c r="AH165" t="str">
        <v>ORD200699</v>
      </c>
      <c r="AI165">
        <v>45243</v>
      </c>
      <c r="AJ165" t="str">
        <v>C36813</v>
      </c>
      <c r="AK165" t="str">
        <v>Laptop</v>
      </c>
      <c r="AL165">
        <v>3</v>
      </c>
      <c r="AM165">
        <v>614.15</v>
      </c>
      <c r="AN165" t="str">
        <v>897 Main St</v>
      </c>
      <c r="AO165" t="str">
        <v>Gift Card</v>
      </c>
      <c r="AP165" t="str">
        <v>Cancelled</v>
      </c>
      <c r="AQ165" t="str">
        <v>TRK84088900</v>
      </c>
      <c r="AR165">
        <v>3</v>
      </c>
      <c r="AS165">
        <v>0</v>
      </c>
      <c r="AT165" t="str">
        <v>Facebook</v>
      </c>
      <c r="AU165">
        <v>1842.45</v>
      </c>
    </row>
    <row r="166" spans="1:47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AH166" t="str">
        <v>ORD200707</v>
      </c>
      <c r="AI166">
        <v>45597</v>
      </c>
      <c r="AJ166" t="str">
        <v>C31761</v>
      </c>
      <c r="AK166" t="str">
        <v>Chair</v>
      </c>
      <c r="AL166">
        <v>4</v>
      </c>
      <c r="AM166">
        <v>650.04</v>
      </c>
      <c r="AN166" t="str">
        <v>989 Main St</v>
      </c>
      <c r="AO166" t="str">
        <v>Gift Card</v>
      </c>
      <c r="AP166" t="str">
        <v>Cancelled</v>
      </c>
      <c r="AQ166" t="str">
        <v>TRK17628852</v>
      </c>
      <c r="AR166">
        <v>6</v>
      </c>
      <c r="AS166" t="str">
        <v>SAVE10</v>
      </c>
      <c r="AT166" t="str">
        <v>Facebook</v>
      </c>
      <c r="AU166">
        <v>2600.16</v>
      </c>
    </row>
    <row r="167" spans="1:47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AH167" t="str">
        <v>ORD200713</v>
      </c>
      <c r="AI167">
        <v>45829</v>
      </c>
      <c r="AJ167" t="str">
        <v>C65056</v>
      </c>
      <c r="AK167" t="str">
        <v>Tablet</v>
      </c>
      <c r="AL167">
        <v>4</v>
      </c>
      <c r="AM167">
        <v>532.49</v>
      </c>
      <c r="AN167" t="str">
        <v>638 Main St</v>
      </c>
      <c r="AO167" t="str">
        <v>Online</v>
      </c>
      <c r="AP167" t="str">
        <v>Cancelled</v>
      </c>
      <c r="AQ167" t="str">
        <v>TRK31705278</v>
      </c>
      <c r="AR167">
        <v>6</v>
      </c>
      <c r="AS167" t="str">
        <v>SAVE10</v>
      </c>
      <c r="AT167" t="str">
        <v>Facebook</v>
      </c>
      <c r="AU167">
        <v>2129.96</v>
      </c>
    </row>
    <row r="168" spans="1:47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AH168" t="str">
        <v>ORD200718</v>
      </c>
      <c r="AI168">
        <v>45024</v>
      </c>
      <c r="AJ168" t="str">
        <v>C16790</v>
      </c>
      <c r="AK168" t="str">
        <v>Laptop</v>
      </c>
      <c r="AL168">
        <v>4</v>
      </c>
      <c r="AM168">
        <v>64.739999999999995</v>
      </c>
      <c r="AN168" t="str">
        <v>718 Main St</v>
      </c>
      <c r="AO168" t="str">
        <v>Gift Card</v>
      </c>
      <c r="AP168" t="str">
        <v>Cancelled</v>
      </c>
      <c r="AQ168" t="str">
        <v>TRK91791367</v>
      </c>
      <c r="AR168">
        <v>8</v>
      </c>
      <c r="AS168" t="str">
        <v>SAVE10</v>
      </c>
      <c r="AT168" t="str">
        <v>Google</v>
      </c>
      <c r="AU168">
        <v>258.95999999999998</v>
      </c>
    </row>
    <row r="169" spans="1:47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AH169" t="str">
        <v>ORD200746</v>
      </c>
      <c r="AI169">
        <v>45712</v>
      </c>
      <c r="AJ169" t="str">
        <v>C32183</v>
      </c>
      <c r="AK169" t="str">
        <v>Desk</v>
      </c>
      <c r="AL169">
        <v>3</v>
      </c>
      <c r="AM169">
        <v>661.89</v>
      </c>
      <c r="AN169" t="str">
        <v>551 Main St</v>
      </c>
      <c r="AO169" t="str">
        <v>Online</v>
      </c>
      <c r="AP169" t="str">
        <v>Cancelled</v>
      </c>
      <c r="AQ169" t="str">
        <v>TRK76287027</v>
      </c>
      <c r="AR169">
        <v>6</v>
      </c>
      <c r="AS169" t="str">
        <v>WINTER15</v>
      </c>
      <c r="AT169" t="str">
        <v>Referral</v>
      </c>
      <c r="AU169">
        <v>1985.67</v>
      </c>
    </row>
    <row r="170" spans="1:47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  <c r="AH170" t="str">
        <v>ORD200758</v>
      </c>
      <c r="AI170">
        <v>45011</v>
      </c>
      <c r="AJ170" t="str">
        <v>C69021</v>
      </c>
      <c r="AK170" t="str">
        <v>Tablet</v>
      </c>
      <c r="AL170">
        <v>3</v>
      </c>
      <c r="AM170">
        <v>624.84</v>
      </c>
      <c r="AN170" t="str">
        <v>917 Main St</v>
      </c>
      <c r="AO170" t="str">
        <v>Credit Card</v>
      </c>
      <c r="AP170" t="str">
        <v>Cancelled</v>
      </c>
      <c r="AQ170" t="str">
        <v>TRK57148510</v>
      </c>
      <c r="AR170">
        <v>8</v>
      </c>
      <c r="AS170" t="str">
        <v>WINTER15</v>
      </c>
      <c r="AT170" t="str">
        <v>Facebook</v>
      </c>
      <c r="AU170">
        <v>1874.52</v>
      </c>
    </row>
    <row r="171" spans="1:47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AH171" t="str">
        <v>ORD200760</v>
      </c>
      <c r="AI171">
        <v>45706</v>
      </c>
      <c r="AJ171" t="str">
        <v>C96636</v>
      </c>
      <c r="AK171" t="str">
        <v>Desk</v>
      </c>
      <c r="AL171">
        <v>1</v>
      </c>
      <c r="AM171">
        <v>39.56</v>
      </c>
      <c r="AN171" t="str">
        <v>283 Main St</v>
      </c>
      <c r="AO171" t="str">
        <v>Debit Card</v>
      </c>
      <c r="AP171" t="str">
        <v>Cancelled</v>
      </c>
      <c r="AQ171" t="str">
        <v>TRK73324346</v>
      </c>
      <c r="AR171">
        <v>5</v>
      </c>
      <c r="AS171">
        <v>0</v>
      </c>
      <c r="AT171" t="str">
        <v>Google</v>
      </c>
      <c r="AU171">
        <v>39.56</v>
      </c>
    </row>
    <row r="172" spans="1:47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AH172" t="str">
        <v>ORD200764</v>
      </c>
      <c r="AI172">
        <v>45361</v>
      </c>
      <c r="AJ172" t="str">
        <v>C35983</v>
      </c>
      <c r="AK172" t="str">
        <v>Laptop</v>
      </c>
      <c r="AL172">
        <v>5</v>
      </c>
      <c r="AM172">
        <v>627.42999999999995</v>
      </c>
      <c r="AN172" t="str">
        <v>806 Main St</v>
      </c>
      <c r="AO172" t="str">
        <v>Credit Card</v>
      </c>
      <c r="AP172" t="str">
        <v>Cancelled</v>
      </c>
      <c r="AQ172" t="str">
        <v>TRK14016163</v>
      </c>
      <c r="AR172">
        <v>10</v>
      </c>
      <c r="AS172" t="str">
        <v>FREESHIP</v>
      </c>
      <c r="AT172" t="str">
        <v>Email</v>
      </c>
      <c r="AU172">
        <v>3137.15</v>
      </c>
    </row>
    <row r="173" spans="1:47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AH173" t="str">
        <v>ORD200768</v>
      </c>
      <c r="AI173">
        <v>45173</v>
      </c>
      <c r="AJ173" t="str">
        <v>C35987</v>
      </c>
      <c r="AK173" t="str">
        <v>Tablet</v>
      </c>
      <c r="AL173">
        <v>5</v>
      </c>
      <c r="AM173">
        <v>653.46</v>
      </c>
      <c r="AN173" t="str">
        <v>165 Main St</v>
      </c>
      <c r="AO173" t="str">
        <v>Cash</v>
      </c>
      <c r="AP173" t="str">
        <v>Cancelled</v>
      </c>
      <c r="AQ173" t="str">
        <v>TRK28918815</v>
      </c>
      <c r="AR173">
        <v>9</v>
      </c>
      <c r="AS173" t="str">
        <v>WINTER15</v>
      </c>
      <c r="AT173" t="str">
        <v>Email</v>
      </c>
      <c r="AU173">
        <v>3267.3</v>
      </c>
    </row>
    <row r="174" spans="1:47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AH174" t="str">
        <v>ORD200771</v>
      </c>
      <c r="AI174">
        <v>45455</v>
      </c>
      <c r="AJ174" t="str">
        <v>C20357</v>
      </c>
      <c r="AK174" t="str">
        <v>Phone</v>
      </c>
      <c r="AL174">
        <v>3</v>
      </c>
      <c r="AM174">
        <v>692.44</v>
      </c>
      <c r="AN174" t="str">
        <v>272 Main St</v>
      </c>
      <c r="AO174" t="str">
        <v>Debit Card</v>
      </c>
      <c r="AP174" t="str">
        <v>Cancelled</v>
      </c>
      <c r="AQ174" t="str">
        <v>TRK82236408</v>
      </c>
      <c r="AR174">
        <v>8</v>
      </c>
      <c r="AS174" t="str">
        <v>FREESHIP</v>
      </c>
      <c r="AT174" t="str">
        <v>Google</v>
      </c>
      <c r="AU174">
        <v>2077.3200000000002</v>
      </c>
    </row>
    <row r="175" spans="1:47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AH175" t="str">
        <v>ORD200773</v>
      </c>
      <c r="AI175">
        <v>45836</v>
      </c>
      <c r="AJ175" t="str">
        <v>C99205</v>
      </c>
      <c r="AK175" t="str">
        <v>Phone</v>
      </c>
      <c r="AL175">
        <v>2</v>
      </c>
      <c r="AM175">
        <v>512.33000000000004</v>
      </c>
      <c r="AN175" t="str">
        <v>415 Main St</v>
      </c>
      <c r="AO175" t="str">
        <v>Cash</v>
      </c>
      <c r="AP175" t="str">
        <v>Cancelled</v>
      </c>
      <c r="AQ175" t="str">
        <v>TRK48904015</v>
      </c>
      <c r="AR175">
        <v>7</v>
      </c>
      <c r="AS175">
        <v>0</v>
      </c>
      <c r="AT175" t="str">
        <v>Facebook</v>
      </c>
      <c r="AU175">
        <v>1024.6600000000001</v>
      </c>
    </row>
    <row r="176" spans="1:47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AH176" t="str">
        <v>ORD200774</v>
      </c>
      <c r="AI176">
        <v>45762</v>
      </c>
      <c r="AJ176" t="str">
        <v>C29701</v>
      </c>
      <c r="AK176" t="str">
        <v>Chair</v>
      </c>
      <c r="AL176">
        <v>3</v>
      </c>
      <c r="AM176">
        <v>20.54</v>
      </c>
      <c r="AN176" t="str">
        <v>257 Main St</v>
      </c>
      <c r="AO176" t="str">
        <v>Credit Card</v>
      </c>
      <c r="AP176" t="str">
        <v>Cancelled</v>
      </c>
      <c r="AQ176" t="str">
        <v>TRK42266846</v>
      </c>
      <c r="AR176">
        <v>3</v>
      </c>
      <c r="AS176" t="str">
        <v>FREESHIP</v>
      </c>
      <c r="AT176" t="str">
        <v>Instagram</v>
      </c>
      <c r="AU176">
        <v>61.62</v>
      </c>
    </row>
    <row r="177" spans="1:47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AH177" t="str">
        <v>ORD200775</v>
      </c>
      <c r="AI177">
        <v>44989</v>
      </c>
      <c r="AJ177" t="str">
        <v>C73941</v>
      </c>
      <c r="AK177" t="str">
        <v>Phone</v>
      </c>
      <c r="AL177">
        <v>2</v>
      </c>
      <c r="AM177">
        <v>625.22</v>
      </c>
      <c r="AN177" t="str">
        <v>569 Main St</v>
      </c>
      <c r="AO177" t="str">
        <v>Online</v>
      </c>
      <c r="AP177" t="str">
        <v>Cancelled</v>
      </c>
      <c r="AQ177" t="str">
        <v>TRK22051900</v>
      </c>
      <c r="AR177">
        <v>5</v>
      </c>
      <c r="AS177">
        <v>0</v>
      </c>
      <c r="AT177" t="str">
        <v>Google</v>
      </c>
      <c r="AU177">
        <v>1250.44</v>
      </c>
    </row>
    <row r="178" spans="1:47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AH178" t="str">
        <v>ORD200777</v>
      </c>
      <c r="AI178">
        <v>45737</v>
      </c>
      <c r="AJ178" t="str">
        <v>C66116</v>
      </c>
      <c r="AK178" t="str">
        <v>Chair</v>
      </c>
      <c r="AL178">
        <v>5</v>
      </c>
      <c r="AM178">
        <v>64.489999999999995</v>
      </c>
      <c r="AN178" t="str">
        <v>633 Main St</v>
      </c>
      <c r="AO178" t="str">
        <v>Online</v>
      </c>
      <c r="AP178" t="str">
        <v>Cancelled</v>
      </c>
      <c r="AQ178" t="str">
        <v>TRK41967983</v>
      </c>
      <c r="AR178">
        <v>7</v>
      </c>
      <c r="AS178">
        <v>0</v>
      </c>
      <c r="AT178" t="str">
        <v>Facebook</v>
      </c>
      <c r="AU178">
        <v>322.45</v>
      </c>
    </row>
    <row r="179" spans="1:47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  <c r="AH179" t="str">
        <v>ORD200780</v>
      </c>
      <c r="AI179">
        <v>45382</v>
      </c>
      <c r="AJ179" t="str">
        <v>C41284</v>
      </c>
      <c r="AK179" t="str">
        <v>Laptop</v>
      </c>
      <c r="AL179">
        <v>4</v>
      </c>
      <c r="AM179">
        <v>184.48</v>
      </c>
      <c r="AN179" t="str">
        <v>661 Main St</v>
      </c>
      <c r="AO179" t="str">
        <v>Online</v>
      </c>
      <c r="AP179" t="str">
        <v>Cancelled</v>
      </c>
      <c r="AQ179" t="str">
        <v>TRK73613128</v>
      </c>
      <c r="AR179">
        <v>4</v>
      </c>
      <c r="AS179" t="str">
        <v>WINTER15</v>
      </c>
      <c r="AT179" t="str">
        <v>Google</v>
      </c>
      <c r="AU179">
        <v>737.92</v>
      </c>
    </row>
    <row r="180" spans="1:47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AH180" t="str">
        <v>ORD200786</v>
      </c>
      <c r="AI180">
        <v>45161</v>
      </c>
      <c r="AJ180" t="str">
        <v>C39130</v>
      </c>
      <c r="AK180" t="str">
        <v>Chair</v>
      </c>
      <c r="AL180">
        <v>5</v>
      </c>
      <c r="AM180">
        <v>45.31</v>
      </c>
      <c r="AN180" t="str">
        <v>774 Main St</v>
      </c>
      <c r="AO180" t="str">
        <v>Online</v>
      </c>
      <c r="AP180" t="str">
        <v>Cancelled</v>
      </c>
      <c r="AQ180" t="str">
        <v>TRK99583414</v>
      </c>
      <c r="AR180">
        <v>8</v>
      </c>
      <c r="AS180">
        <v>0</v>
      </c>
      <c r="AT180" t="str">
        <v>Referral</v>
      </c>
      <c r="AU180">
        <v>226.55</v>
      </c>
    </row>
    <row r="181" spans="1:47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  <c r="AH181" t="str">
        <v>ORD200802</v>
      </c>
      <c r="AI181">
        <v>45339</v>
      </c>
      <c r="AJ181" t="str">
        <v>C84331</v>
      </c>
      <c r="AK181" t="str">
        <v>Chair</v>
      </c>
      <c r="AL181">
        <v>5</v>
      </c>
      <c r="AM181">
        <v>644.64</v>
      </c>
      <c r="AN181" t="str">
        <v>205 Main St</v>
      </c>
      <c r="AO181" t="str">
        <v>Gift Card</v>
      </c>
      <c r="AP181" t="str">
        <v>Cancelled</v>
      </c>
      <c r="AQ181" t="str">
        <v>TRK34440714</v>
      </c>
      <c r="AR181">
        <v>6</v>
      </c>
      <c r="AS181" t="str">
        <v>FREESHIP</v>
      </c>
      <c r="AT181" t="str">
        <v>Email</v>
      </c>
      <c r="AU181">
        <v>3223.2</v>
      </c>
    </row>
    <row r="182" spans="1:47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  <c r="AH182" t="str">
        <v>ORD200805</v>
      </c>
      <c r="AI182">
        <v>45580</v>
      </c>
      <c r="AJ182" t="str">
        <v>C59278</v>
      </c>
      <c r="AK182" t="str">
        <v>Laptop</v>
      </c>
      <c r="AL182">
        <v>5</v>
      </c>
      <c r="AM182">
        <v>472.01</v>
      </c>
      <c r="AN182" t="str">
        <v>178 Main St</v>
      </c>
      <c r="AO182" t="str">
        <v>Gift Card</v>
      </c>
      <c r="AP182" t="str">
        <v>Cancelled</v>
      </c>
      <c r="AQ182" t="str">
        <v>TRK14590037</v>
      </c>
      <c r="AR182">
        <v>10</v>
      </c>
      <c r="AS182" t="str">
        <v>SAVE10</v>
      </c>
      <c r="AT182" t="str">
        <v>Email</v>
      </c>
      <c r="AU182">
        <v>2360.0500000000002</v>
      </c>
    </row>
    <row r="183" spans="1:47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  <c r="AH183" t="str">
        <v>ORD200810</v>
      </c>
      <c r="AI183">
        <v>45077</v>
      </c>
      <c r="AJ183" t="str">
        <v>C23637</v>
      </c>
      <c r="AK183" t="str">
        <v>Tablet</v>
      </c>
      <c r="AL183">
        <v>1</v>
      </c>
      <c r="AM183">
        <v>553.55999999999995</v>
      </c>
      <c r="AN183" t="str">
        <v>644 Main St</v>
      </c>
      <c r="AO183" t="str">
        <v>Credit Card</v>
      </c>
      <c r="AP183" t="str">
        <v>Cancelled</v>
      </c>
      <c r="AQ183" t="str">
        <v>TRK16749863</v>
      </c>
      <c r="AR183">
        <v>5</v>
      </c>
      <c r="AS183">
        <v>0</v>
      </c>
      <c r="AT183" t="str">
        <v>Referral</v>
      </c>
      <c r="AU183">
        <v>553.55999999999995</v>
      </c>
    </row>
    <row r="184" spans="1:47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AH184" t="str">
        <v>ORD200812</v>
      </c>
      <c r="AI184">
        <v>45317</v>
      </c>
      <c r="AJ184" t="str">
        <v>C81547</v>
      </c>
      <c r="AK184" t="str">
        <v>Phone</v>
      </c>
      <c r="AL184">
        <v>2</v>
      </c>
      <c r="AM184">
        <v>255.26</v>
      </c>
      <c r="AN184" t="str">
        <v>803 Main St</v>
      </c>
      <c r="AO184" t="str">
        <v>Credit Card</v>
      </c>
      <c r="AP184" t="str">
        <v>Cancelled</v>
      </c>
      <c r="AQ184" t="str">
        <v>TRK88437123</v>
      </c>
      <c r="AR184">
        <v>6</v>
      </c>
      <c r="AS184" t="str">
        <v>FREESHIP</v>
      </c>
      <c r="AT184" t="str">
        <v>Google</v>
      </c>
      <c r="AU184">
        <v>510.52</v>
      </c>
    </row>
    <row r="185" spans="1:47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AH185" t="str">
        <v>ORD200813</v>
      </c>
      <c r="AI185">
        <v>45731</v>
      </c>
      <c r="AJ185" t="str">
        <v>C12813</v>
      </c>
      <c r="AK185" t="str">
        <v>Laptop</v>
      </c>
      <c r="AL185">
        <v>5</v>
      </c>
      <c r="AM185">
        <v>292.54000000000002</v>
      </c>
      <c r="AN185" t="str">
        <v>263 Main St</v>
      </c>
      <c r="AO185" t="str">
        <v>Debit Card</v>
      </c>
      <c r="AP185" t="str">
        <v>Cancelled</v>
      </c>
      <c r="AQ185" t="str">
        <v>TRK36131660</v>
      </c>
      <c r="AR185">
        <v>8</v>
      </c>
      <c r="AS185" t="str">
        <v>FREESHIP</v>
      </c>
      <c r="AT185" t="str">
        <v>Email</v>
      </c>
      <c r="AU185">
        <v>1462.7</v>
      </c>
    </row>
    <row r="186" spans="1:47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  <c r="AH186" t="str">
        <v>ORD200815</v>
      </c>
      <c r="AI186">
        <v>45508</v>
      </c>
      <c r="AJ186" t="str">
        <v>C41320</v>
      </c>
      <c r="AK186" t="str">
        <v>Printer</v>
      </c>
      <c r="AL186">
        <v>3</v>
      </c>
      <c r="AM186">
        <v>569.84</v>
      </c>
      <c r="AN186" t="str">
        <v>920 Main St</v>
      </c>
      <c r="AO186" t="str">
        <v>Gift Card</v>
      </c>
      <c r="AP186" t="str">
        <v>Cancelled</v>
      </c>
      <c r="AQ186" t="str">
        <v>TRK77539180</v>
      </c>
      <c r="AR186">
        <v>8</v>
      </c>
      <c r="AS186" t="str">
        <v>WINTER15</v>
      </c>
      <c r="AT186" t="str">
        <v>Instagram</v>
      </c>
      <c r="AU186">
        <v>1709.52</v>
      </c>
    </row>
    <row r="187" spans="1:47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AH187" t="str">
        <v>ORD200818</v>
      </c>
      <c r="AI187">
        <v>44987</v>
      </c>
      <c r="AJ187" t="str">
        <v>C25580</v>
      </c>
      <c r="AK187" t="str">
        <v>Phone</v>
      </c>
      <c r="AL187">
        <v>4</v>
      </c>
      <c r="AM187">
        <v>390.84</v>
      </c>
      <c r="AN187" t="str">
        <v>860 Main St</v>
      </c>
      <c r="AO187" t="str">
        <v>Credit Card</v>
      </c>
      <c r="AP187" t="str">
        <v>Cancelled</v>
      </c>
      <c r="AQ187" t="str">
        <v>TRK58781638</v>
      </c>
      <c r="AR187">
        <v>9</v>
      </c>
      <c r="AS187" t="str">
        <v>WINTER15</v>
      </c>
      <c r="AT187" t="str">
        <v>Referral</v>
      </c>
      <c r="AU187">
        <v>1563.36</v>
      </c>
    </row>
    <row r="188" spans="1:47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AH188" t="str">
        <v>ORD200819</v>
      </c>
      <c r="AI188">
        <v>45563</v>
      </c>
      <c r="AJ188" t="str">
        <v>C66196</v>
      </c>
      <c r="AK188" t="str">
        <v>Phone</v>
      </c>
      <c r="AL188">
        <v>2</v>
      </c>
      <c r="AM188">
        <v>398.45</v>
      </c>
      <c r="AN188" t="str">
        <v>650 Main St</v>
      </c>
      <c r="AO188" t="str">
        <v>Debit Card</v>
      </c>
      <c r="AP188" t="str">
        <v>Cancelled</v>
      </c>
      <c r="AQ188" t="str">
        <v>TRK38104650</v>
      </c>
      <c r="AR188">
        <v>7</v>
      </c>
      <c r="AS188" t="str">
        <v>SAVE10</v>
      </c>
      <c r="AT188" t="str">
        <v>Google</v>
      </c>
      <c r="AU188">
        <v>796.9</v>
      </c>
    </row>
    <row r="189" spans="1:47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AH189" t="str">
        <v>ORD200836</v>
      </c>
      <c r="AI189">
        <v>44959</v>
      </c>
      <c r="AJ189" t="str">
        <v>C31810</v>
      </c>
      <c r="AK189" t="str">
        <v>Phone</v>
      </c>
      <c r="AL189">
        <v>1</v>
      </c>
      <c r="AM189">
        <v>178.44</v>
      </c>
      <c r="AN189" t="str">
        <v>328 Main St</v>
      </c>
      <c r="AO189" t="str">
        <v>Credit Card</v>
      </c>
      <c r="AP189" t="str">
        <v>Cancelled</v>
      </c>
      <c r="AQ189" t="str">
        <v>TRK58725886</v>
      </c>
      <c r="AR189">
        <v>2</v>
      </c>
      <c r="AS189" t="str">
        <v>FREESHIP</v>
      </c>
      <c r="AT189" t="str">
        <v>Google</v>
      </c>
      <c r="AU189">
        <v>178.44</v>
      </c>
    </row>
    <row r="190" spans="1:47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AH190" t="str">
        <v>ORD200839</v>
      </c>
      <c r="AI190">
        <v>45162</v>
      </c>
      <c r="AJ190" t="str">
        <v>C82858</v>
      </c>
      <c r="AK190" t="str">
        <v>Chair</v>
      </c>
      <c r="AL190">
        <v>3</v>
      </c>
      <c r="AM190">
        <v>197.97</v>
      </c>
      <c r="AN190" t="str">
        <v>551 Main St</v>
      </c>
      <c r="AO190" t="str">
        <v>Online</v>
      </c>
      <c r="AP190" t="str">
        <v>Cancelled</v>
      </c>
      <c r="AQ190" t="str">
        <v>TRK90618490</v>
      </c>
      <c r="AR190">
        <v>5</v>
      </c>
      <c r="AS190">
        <v>0</v>
      </c>
      <c r="AT190" t="str">
        <v>Google</v>
      </c>
      <c r="AU190">
        <v>593.91</v>
      </c>
    </row>
    <row r="191" spans="1:47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AH191" t="str">
        <v>ORD200843</v>
      </c>
      <c r="AI191">
        <v>45790</v>
      </c>
      <c r="AJ191" t="str">
        <v>C43538</v>
      </c>
      <c r="AK191" t="str">
        <v>Desk</v>
      </c>
      <c r="AL191">
        <v>3</v>
      </c>
      <c r="AM191">
        <v>430.06</v>
      </c>
      <c r="AN191" t="str">
        <v>534 Main St</v>
      </c>
      <c r="AO191" t="str">
        <v>Gift Card</v>
      </c>
      <c r="AP191" t="str">
        <v>Cancelled</v>
      </c>
      <c r="AQ191" t="str">
        <v>TRK20961563</v>
      </c>
      <c r="AR191">
        <v>8</v>
      </c>
      <c r="AS191" t="str">
        <v>FREESHIP</v>
      </c>
      <c r="AT191" t="str">
        <v>Instagram</v>
      </c>
      <c r="AU191">
        <v>1290.18</v>
      </c>
    </row>
    <row r="192" spans="1:47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AH192" t="str">
        <v>ORD200846</v>
      </c>
      <c r="AI192">
        <v>45477</v>
      </c>
      <c r="AJ192" t="str">
        <v>C24765</v>
      </c>
      <c r="AK192" t="str">
        <v>Desk</v>
      </c>
      <c r="AL192">
        <v>2</v>
      </c>
      <c r="AM192">
        <v>359.86</v>
      </c>
      <c r="AN192" t="str">
        <v>646 Main St</v>
      </c>
      <c r="AO192" t="str">
        <v>Debit Card</v>
      </c>
      <c r="AP192" t="str">
        <v>Cancelled</v>
      </c>
      <c r="AQ192" t="str">
        <v>TRK43977698</v>
      </c>
      <c r="AR192">
        <v>4</v>
      </c>
      <c r="AS192">
        <v>0</v>
      </c>
      <c r="AT192" t="str">
        <v>Referral</v>
      </c>
      <c r="AU192">
        <v>719.72</v>
      </c>
    </row>
    <row r="193" spans="1:47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AH193" t="str">
        <v>ORD200849</v>
      </c>
      <c r="AI193">
        <v>45817</v>
      </c>
      <c r="AJ193" t="str">
        <v>C16675</v>
      </c>
      <c r="AK193" t="str">
        <v>Printer</v>
      </c>
      <c r="AL193">
        <v>4</v>
      </c>
      <c r="AM193">
        <v>214.35</v>
      </c>
      <c r="AN193" t="str">
        <v>664 Main St</v>
      </c>
      <c r="AO193" t="str">
        <v>Debit Card</v>
      </c>
      <c r="AP193" t="str">
        <v>Cancelled</v>
      </c>
      <c r="AQ193" t="str">
        <v>TRK12756945</v>
      </c>
      <c r="AR193">
        <v>7</v>
      </c>
      <c r="AS193" t="str">
        <v>WINTER15</v>
      </c>
      <c r="AT193" t="str">
        <v>Referral</v>
      </c>
      <c r="AU193">
        <v>857.4</v>
      </c>
    </row>
    <row r="194" spans="1:47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AH194" t="str">
        <v>ORD200850</v>
      </c>
      <c r="AI194">
        <v>45774</v>
      </c>
      <c r="AJ194" t="str">
        <v>C38557</v>
      </c>
      <c r="AK194" t="str">
        <v>Monitor</v>
      </c>
      <c r="AL194">
        <v>3</v>
      </c>
      <c r="AM194">
        <v>638.5</v>
      </c>
      <c r="AN194" t="str">
        <v>890 Main St</v>
      </c>
      <c r="AO194" t="str">
        <v>Debit Card</v>
      </c>
      <c r="AP194" t="str">
        <v>Cancelled</v>
      </c>
      <c r="AQ194" t="str">
        <v>TRK14832238</v>
      </c>
      <c r="AR194">
        <v>4</v>
      </c>
      <c r="AS194" t="str">
        <v>FREESHIP</v>
      </c>
      <c r="AT194" t="str">
        <v>Instagram</v>
      </c>
      <c r="AU194">
        <v>1915.5</v>
      </c>
    </row>
    <row r="195" spans="1:47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  <c r="AH195" t="str">
        <v>ORD200851</v>
      </c>
      <c r="AI195">
        <v>45272</v>
      </c>
      <c r="AJ195" t="str">
        <v>C80183</v>
      </c>
      <c r="AK195" t="str">
        <v>Laptop</v>
      </c>
      <c r="AL195">
        <v>1</v>
      </c>
      <c r="AM195">
        <v>365.57</v>
      </c>
      <c r="AN195" t="str">
        <v>146 Main St</v>
      </c>
      <c r="AO195" t="str">
        <v>Online</v>
      </c>
      <c r="AP195" t="str">
        <v>Cancelled</v>
      </c>
      <c r="AQ195" t="str">
        <v>TRK20814598</v>
      </c>
      <c r="AR195">
        <v>5</v>
      </c>
      <c r="AS195" t="str">
        <v>SAVE10</v>
      </c>
      <c r="AT195" t="str">
        <v>Email</v>
      </c>
      <c r="AU195">
        <v>365.57</v>
      </c>
    </row>
    <row r="196" spans="1:47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AH196" t="str">
        <v>ORD200866</v>
      </c>
      <c r="AI196">
        <v>45499</v>
      </c>
      <c r="AJ196" t="str">
        <v>C39664</v>
      </c>
      <c r="AK196" t="str">
        <v>Desk</v>
      </c>
      <c r="AL196">
        <v>5</v>
      </c>
      <c r="AM196">
        <v>189.25</v>
      </c>
      <c r="AN196" t="str">
        <v>693 Main St</v>
      </c>
      <c r="AO196" t="str">
        <v>Debit Card</v>
      </c>
      <c r="AP196" t="str">
        <v>Cancelled</v>
      </c>
      <c r="AQ196" t="str">
        <v>TRK39917741</v>
      </c>
      <c r="AR196">
        <v>10</v>
      </c>
      <c r="AS196" t="str">
        <v>WINTER15</v>
      </c>
      <c r="AT196" t="str">
        <v>Email</v>
      </c>
      <c r="AU196">
        <v>946.25</v>
      </c>
    </row>
    <row r="197" spans="1:47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  <c r="AH197" t="str">
        <v>ORD200878</v>
      </c>
      <c r="AI197">
        <v>45078</v>
      </c>
      <c r="AJ197" t="str">
        <v>C73873</v>
      </c>
      <c r="AK197" t="str">
        <v>Desk</v>
      </c>
      <c r="AL197">
        <v>2</v>
      </c>
      <c r="AM197">
        <v>330.69</v>
      </c>
      <c r="AN197" t="str">
        <v>393 Main St</v>
      </c>
      <c r="AO197" t="str">
        <v>Online</v>
      </c>
      <c r="AP197" t="str">
        <v>Cancelled</v>
      </c>
      <c r="AQ197" t="str">
        <v>TRK56423132</v>
      </c>
      <c r="AR197">
        <v>5</v>
      </c>
      <c r="AS197" t="str">
        <v>SAVE10</v>
      </c>
      <c r="AT197" t="str">
        <v>Google</v>
      </c>
      <c r="AU197">
        <v>661.38</v>
      </c>
    </row>
    <row r="198" spans="1:47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AH198" t="str">
        <v>ORD200889</v>
      </c>
      <c r="AI198">
        <v>45592</v>
      </c>
      <c r="AJ198" t="str">
        <v>C36725</v>
      </c>
      <c r="AK198" t="str">
        <v>Monitor</v>
      </c>
      <c r="AL198">
        <v>5</v>
      </c>
      <c r="AM198">
        <v>650.72</v>
      </c>
      <c r="AN198" t="str">
        <v>350 Main St</v>
      </c>
      <c r="AO198" t="str">
        <v>Credit Card</v>
      </c>
      <c r="AP198" t="str">
        <v>Cancelled</v>
      </c>
      <c r="AQ198" t="str">
        <v>TRK16808790</v>
      </c>
      <c r="AR198">
        <v>8</v>
      </c>
      <c r="AS198" t="str">
        <v>WINTER15</v>
      </c>
      <c r="AT198" t="str">
        <v>Email</v>
      </c>
      <c r="AU198">
        <v>3253.6</v>
      </c>
    </row>
    <row r="199" spans="1:47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AH199" t="str">
        <v>ORD200894</v>
      </c>
      <c r="AI199">
        <v>45069</v>
      </c>
      <c r="AJ199" t="str">
        <v>C90852</v>
      </c>
      <c r="AK199" t="str">
        <v>Tablet</v>
      </c>
      <c r="AL199">
        <v>3</v>
      </c>
      <c r="AM199">
        <v>575.01</v>
      </c>
      <c r="AN199" t="str">
        <v>852 Main St</v>
      </c>
      <c r="AO199" t="str">
        <v>Online</v>
      </c>
      <c r="AP199" t="str">
        <v>Cancelled</v>
      </c>
      <c r="AQ199" t="str">
        <v>TRK37551831</v>
      </c>
      <c r="AR199">
        <v>8</v>
      </c>
      <c r="AS199" t="str">
        <v>WINTER15</v>
      </c>
      <c r="AT199" t="str">
        <v>Instagram</v>
      </c>
      <c r="AU199">
        <v>1725.03</v>
      </c>
    </row>
    <row r="200" spans="1:47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AH200" t="str">
        <v>ORD200902</v>
      </c>
      <c r="AI200">
        <v>45486</v>
      </c>
      <c r="AJ200" t="str">
        <v>C61162</v>
      </c>
      <c r="AK200" t="str">
        <v>Monitor</v>
      </c>
      <c r="AL200">
        <v>4</v>
      </c>
      <c r="AM200">
        <v>180.25</v>
      </c>
      <c r="AN200" t="str">
        <v>813 Main St</v>
      </c>
      <c r="AO200" t="str">
        <v>Debit Card</v>
      </c>
      <c r="AP200" t="str">
        <v>Cancelled</v>
      </c>
      <c r="AQ200" t="str">
        <v>TRK76712124</v>
      </c>
      <c r="AR200">
        <v>7</v>
      </c>
      <c r="AS200">
        <v>0</v>
      </c>
      <c r="AT200" t="str">
        <v>Facebook</v>
      </c>
      <c r="AU200">
        <v>721</v>
      </c>
    </row>
    <row r="201" spans="1:47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AH201" t="str">
        <v>ORD200904</v>
      </c>
      <c r="AI201">
        <v>45693</v>
      </c>
      <c r="AJ201" t="str">
        <v>C16693</v>
      </c>
      <c r="AK201" t="str">
        <v>Monitor</v>
      </c>
      <c r="AL201">
        <v>4</v>
      </c>
      <c r="AM201">
        <v>237.43</v>
      </c>
      <c r="AN201" t="str">
        <v>262 Main St</v>
      </c>
      <c r="AO201" t="str">
        <v>Cash</v>
      </c>
      <c r="AP201" t="str">
        <v>Cancelled</v>
      </c>
      <c r="AQ201" t="str">
        <v>TRK41146508</v>
      </c>
      <c r="AR201">
        <v>8</v>
      </c>
      <c r="AS201" t="str">
        <v>WINTER15</v>
      </c>
      <c r="AT201" t="str">
        <v>Referral</v>
      </c>
      <c r="AU201">
        <v>949.72</v>
      </c>
    </row>
    <row r="202" spans="1:47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AH202" t="str">
        <v>ORD200907</v>
      </c>
      <c r="AI202">
        <v>45508</v>
      </c>
      <c r="AJ202" t="str">
        <v>C90898</v>
      </c>
      <c r="AK202" t="str">
        <v>Desk</v>
      </c>
      <c r="AL202">
        <v>5</v>
      </c>
      <c r="AM202">
        <v>298.39</v>
      </c>
      <c r="AN202" t="str">
        <v>583 Main St</v>
      </c>
      <c r="AO202" t="str">
        <v>Gift Card</v>
      </c>
      <c r="AP202" t="str">
        <v>Cancelled</v>
      </c>
      <c r="AQ202" t="str">
        <v>TRK52935170</v>
      </c>
      <c r="AR202">
        <v>7</v>
      </c>
      <c r="AS202" t="str">
        <v>WINTER15</v>
      </c>
      <c r="AT202" t="str">
        <v>Referral</v>
      </c>
      <c r="AU202">
        <v>1491.95</v>
      </c>
    </row>
    <row r="203" spans="1:47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AH203" t="str">
        <v>ORD200908</v>
      </c>
      <c r="AI203">
        <v>45783</v>
      </c>
      <c r="AJ203" t="str">
        <v>C35117</v>
      </c>
      <c r="AK203" t="str">
        <v>Desk</v>
      </c>
      <c r="AL203">
        <v>2</v>
      </c>
      <c r="AM203">
        <v>697.93</v>
      </c>
      <c r="AN203" t="str">
        <v>332 Main St</v>
      </c>
      <c r="AO203" t="str">
        <v>Credit Card</v>
      </c>
      <c r="AP203" t="str">
        <v>Cancelled</v>
      </c>
      <c r="AQ203" t="str">
        <v>TRK27155709</v>
      </c>
      <c r="AR203">
        <v>2</v>
      </c>
      <c r="AS203" t="str">
        <v>SAVE10</v>
      </c>
      <c r="AT203" t="str">
        <v>Google</v>
      </c>
      <c r="AU203">
        <v>1395.86</v>
      </c>
    </row>
    <row r="204" spans="1:47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AH204" t="str">
        <v>ORD200911</v>
      </c>
      <c r="AI204">
        <v>45517</v>
      </c>
      <c r="AJ204" t="str">
        <v>C80872</v>
      </c>
      <c r="AK204" t="str">
        <v>Desk</v>
      </c>
      <c r="AL204">
        <v>5</v>
      </c>
      <c r="AM204">
        <v>396.86</v>
      </c>
      <c r="AN204" t="str">
        <v>593 Main St</v>
      </c>
      <c r="AO204" t="str">
        <v>Cash</v>
      </c>
      <c r="AP204" t="str">
        <v>Cancelled</v>
      </c>
      <c r="AQ204" t="str">
        <v>TRK43967487</v>
      </c>
      <c r="AR204">
        <v>9</v>
      </c>
      <c r="AS204" t="str">
        <v>SAVE10</v>
      </c>
      <c r="AT204" t="str">
        <v>Instagram</v>
      </c>
      <c r="AU204">
        <v>1984.3</v>
      </c>
    </row>
    <row r="205" spans="1:47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AH205" t="str">
        <v>ORD200921</v>
      </c>
      <c r="AI205">
        <v>45131</v>
      </c>
      <c r="AJ205" t="str">
        <v>C90573</v>
      </c>
      <c r="AK205" t="str">
        <v>Tablet</v>
      </c>
      <c r="AL205">
        <v>1</v>
      </c>
      <c r="AM205">
        <v>438.93</v>
      </c>
      <c r="AN205" t="str">
        <v>144 Main St</v>
      </c>
      <c r="AO205" t="str">
        <v>Gift Card</v>
      </c>
      <c r="AP205" t="str">
        <v>Cancelled</v>
      </c>
      <c r="AQ205" t="str">
        <v>TRK90075720</v>
      </c>
      <c r="AR205">
        <v>3</v>
      </c>
      <c r="AS205" t="str">
        <v>SAVE10</v>
      </c>
      <c r="AT205" t="str">
        <v>Referral</v>
      </c>
      <c r="AU205">
        <v>438.93</v>
      </c>
    </row>
    <row r="206" spans="1:47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AH206" t="str">
        <v>ORD200931</v>
      </c>
      <c r="AI206">
        <v>45292</v>
      </c>
      <c r="AJ206" t="str">
        <v>C14005</v>
      </c>
      <c r="AK206" t="str">
        <v>Printer</v>
      </c>
      <c r="AL206">
        <v>2</v>
      </c>
      <c r="AM206">
        <v>40.229999999999997</v>
      </c>
      <c r="AN206" t="str">
        <v>623 Main St</v>
      </c>
      <c r="AO206" t="str">
        <v>Credit Card</v>
      </c>
      <c r="AP206" t="str">
        <v>Cancelled</v>
      </c>
      <c r="AQ206" t="str">
        <v>TRK87567926</v>
      </c>
      <c r="AR206">
        <v>4</v>
      </c>
      <c r="AS206" t="str">
        <v>SAVE10</v>
      </c>
      <c r="AT206" t="str">
        <v>Google</v>
      </c>
      <c r="AU206">
        <v>80.459999999999994</v>
      </c>
    </row>
    <row r="207" spans="1:47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  <c r="AH207" t="str">
        <v>ORD200937</v>
      </c>
      <c r="AI207">
        <v>45307</v>
      </c>
      <c r="AJ207" t="str">
        <v>C39791</v>
      </c>
      <c r="AK207" t="str">
        <v>Chair</v>
      </c>
      <c r="AL207">
        <v>2</v>
      </c>
      <c r="AM207">
        <v>298.52999999999997</v>
      </c>
      <c r="AN207" t="str">
        <v>536 Main St</v>
      </c>
      <c r="AO207" t="str">
        <v>Debit Card</v>
      </c>
      <c r="AP207" t="str">
        <v>Cancelled</v>
      </c>
      <c r="AQ207" t="str">
        <v>TRK46221436</v>
      </c>
      <c r="AR207">
        <v>5</v>
      </c>
      <c r="AS207" t="str">
        <v>WINTER15</v>
      </c>
      <c r="AT207" t="str">
        <v>Email</v>
      </c>
      <c r="AU207">
        <v>597.05999999999995</v>
      </c>
    </row>
    <row r="208" spans="1:47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AH208" t="str">
        <v>ORD200938</v>
      </c>
      <c r="AI208">
        <v>45119</v>
      </c>
      <c r="AJ208" t="str">
        <v>C39017</v>
      </c>
      <c r="AK208" t="str">
        <v>Chair</v>
      </c>
      <c r="AL208">
        <v>3</v>
      </c>
      <c r="AM208">
        <v>331.46</v>
      </c>
      <c r="AN208" t="str">
        <v>696 Main St</v>
      </c>
      <c r="AO208" t="str">
        <v>Credit Card</v>
      </c>
      <c r="AP208" t="str">
        <v>Cancelled</v>
      </c>
      <c r="AQ208" t="str">
        <v>TRK91155214</v>
      </c>
      <c r="AR208">
        <v>6</v>
      </c>
      <c r="AS208" t="str">
        <v>WINTER15</v>
      </c>
      <c r="AT208" t="str">
        <v>Referral</v>
      </c>
      <c r="AU208">
        <v>994.37999999999988</v>
      </c>
    </row>
    <row r="209" spans="1:47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  <c r="AH209" t="str">
        <v>ORD200940</v>
      </c>
      <c r="AI209">
        <v>45012</v>
      </c>
      <c r="AJ209" t="str">
        <v>C74003</v>
      </c>
      <c r="AK209" t="str">
        <v>Printer</v>
      </c>
      <c r="AL209">
        <v>4</v>
      </c>
      <c r="AM209">
        <v>305.32</v>
      </c>
      <c r="AN209" t="str">
        <v>679 Main St</v>
      </c>
      <c r="AO209" t="str">
        <v>Online</v>
      </c>
      <c r="AP209" t="str">
        <v>Cancelled</v>
      </c>
      <c r="AQ209" t="str">
        <v>TRK91525779</v>
      </c>
      <c r="AR209">
        <v>4</v>
      </c>
      <c r="AS209" t="str">
        <v>SAVE10</v>
      </c>
      <c r="AT209" t="str">
        <v>Google</v>
      </c>
      <c r="AU209">
        <v>1221.28</v>
      </c>
    </row>
    <row r="210" spans="1:47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AH210" t="str">
        <v>ORD200941</v>
      </c>
      <c r="AI210">
        <v>45124</v>
      </c>
      <c r="AJ210" t="str">
        <v>C91155</v>
      </c>
      <c r="AK210" t="str">
        <v>Printer</v>
      </c>
      <c r="AL210">
        <v>5</v>
      </c>
      <c r="AM210">
        <v>111.7</v>
      </c>
      <c r="AN210" t="str">
        <v>599 Main St</v>
      </c>
      <c r="AO210" t="str">
        <v>Credit Card</v>
      </c>
      <c r="AP210" t="str">
        <v>Cancelled</v>
      </c>
      <c r="AQ210" t="str">
        <v>TRK82162952</v>
      </c>
      <c r="AR210">
        <v>9</v>
      </c>
      <c r="AS210" t="str">
        <v>FREESHIP</v>
      </c>
      <c r="AT210" t="str">
        <v>Email</v>
      </c>
      <c r="AU210">
        <v>558.5</v>
      </c>
    </row>
    <row r="211" spans="1:47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AH211" t="str">
        <v>ORD200948</v>
      </c>
      <c r="AI211">
        <v>45464</v>
      </c>
      <c r="AJ211" t="str">
        <v>C94569</v>
      </c>
      <c r="AK211" t="str">
        <v>Phone</v>
      </c>
      <c r="AL211">
        <v>2</v>
      </c>
      <c r="AM211">
        <v>594.07000000000005</v>
      </c>
      <c r="AN211" t="str">
        <v>739 Main St</v>
      </c>
      <c r="AO211" t="str">
        <v>Gift Card</v>
      </c>
      <c r="AP211" t="str">
        <v>Cancelled</v>
      </c>
      <c r="AQ211" t="str">
        <v>TRK79269291</v>
      </c>
      <c r="AR211">
        <v>2</v>
      </c>
      <c r="AS211">
        <v>0</v>
      </c>
      <c r="AT211" t="str">
        <v>Google</v>
      </c>
      <c r="AU211">
        <v>1188.1400000000001</v>
      </c>
    </row>
    <row r="212" spans="1:47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AH212" t="str">
        <v>ORD200964</v>
      </c>
      <c r="AI212">
        <v>45158</v>
      </c>
      <c r="AJ212" t="str">
        <v>C18583</v>
      </c>
      <c r="AK212" t="str">
        <v>Phone</v>
      </c>
      <c r="AL212">
        <v>5</v>
      </c>
      <c r="AM212">
        <v>364.42</v>
      </c>
      <c r="AN212" t="str">
        <v>778 Main St</v>
      </c>
      <c r="AO212" t="str">
        <v>Credit Card</v>
      </c>
      <c r="AP212" t="str">
        <v>Cancelled</v>
      </c>
      <c r="AQ212" t="str">
        <v>TRK43084595</v>
      </c>
      <c r="AR212">
        <v>10</v>
      </c>
      <c r="AS212" t="str">
        <v>SAVE10</v>
      </c>
      <c r="AT212" t="str">
        <v>Referral</v>
      </c>
      <c r="AU212">
        <v>1822.1</v>
      </c>
    </row>
    <row r="213" spans="1:47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AH213" t="str">
        <v>ORD200965</v>
      </c>
      <c r="AI213">
        <v>45826</v>
      </c>
      <c r="AJ213" t="str">
        <v>C70412</v>
      </c>
      <c r="AK213" t="str">
        <v>Laptop</v>
      </c>
      <c r="AL213">
        <v>4</v>
      </c>
      <c r="AM213">
        <v>578.28</v>
      </c>
      <c r="AN213" t="str">
        <v>791 Main St</v>
      </c>
      <c r="AO213" t="str">
        <v>Gift Card</v>
      </c>
      <c r="AP213" t="str">
        <v>Cancelled</v>
      </c>
      <c r="AQ213" t="str">
        <v>TRK22192783</v>
      </c>
      <c r="AR213">
        <v>5</v>
      </c>
      <c r="AS213" t="str">
        <v>FREESHIP</v>
      </c>
      <c r="AT213" t="str">
        <v>Email</v>
      </c>
      <c r="AU213">
        <v>2313.12</v>
      </c>
    </row>
    <row r="214" spans="1:47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AH214" t="str">
        <v>ORD200966</v>
      </c>
      <c r="AI214">
        <v>45797</v>
      </c>
      <c r="AJ214" t="str">
        <v>C58503</v>
      </c>
      <c r="AK214" t="str">
        <v>Monitor</v>
      </c>
      <c r="AL214">
        <v>5</v>
      </c>
      <c r="AM214">
        <v>280.52</v>
      </c>
      <c r="AN214" t="str">
        <v>290 Main St</v>
      </c>
      <c r="AO214" t="str">
        <v>Credit Card</v>
      </c>
      <c r="AP214" t="str">
        <v>Cancelled</v>
      </c>
      <c r="AQ214" t="str">
        <v>TRK12981657</v>
      </c>
      <c r="AR214">
        <v>7</v>
      </c>
      <c r="AS214" t="str">
        <v>WINTER15</v>
      </c>
      <c r="AT214" t="str">
        <v>Facebook</v>
      </c>
      <c r="AU214">
        <v>1402.6</v>
      </c>
    </row>
    <row r="215" spans="1:47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AH215" t="str">
        <v>ORD200971</v>
      </c>
      <c r="AI215">
        <v>45439</v>
      </c>
      <c r="AJ215" t="str">
        <v>C32650</v>
      </c>
      <c r="AK215" t="str">
        <v>Monitor</v>
      </c>
      <c r="AL215">
        <v>2</v>
      </c>
      <c r="AM215">
        <v>605.26</v>
      </c>
      <c r="AN215" t="str">
        <v>934 Main St</v>
      </c>
      <c r="AO215" t="str">
        <v>Cash</v>
      </c>
      <c r="AP215" t="str">
        <v>Cancelled</v>
      </c>
      <c r="AQ215" t="str">
        <v>TRK66648743</v>
      </c>
      <c r="AR215">
        <v>4</v>
      </c>
      <c r="AS215" t="str">
        <v>WINTER15</v>
      </c>
      <c r="AT215" t="str">
        <v>Referral</v>
      </c>
      <c r="AU215">
        <v>1210.52</v>
      </c>
    </row>
    <row r="216" spans="1:47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  <c r="AH216" t="str">
        <v>ORD200974</v>
      </c>
      <c r="AI216">
        <v>45196</v>
      </c>
      <c r="AJ216" t="str">
        <v>C30722</v>
      </c>
      <c r="AK216" t="str">
        <v>Desk</v>
      </c>
      <c r="AL216">
        <v>5</v>
      </c>
      <c r="AM216">
        <v>266.77999999999997</v>
      </c>
      <c r="AN216" t="str">
        <v>274 Main St</v>
      </c>
      <c r="AO216" t="str">
        <v>Gift Card</v>
      </c>
      <c r="AP216" t="str">
        <v>Cancelled</v>
      </c>
      <c r="AQ216" t="str">
        <v>TRK52088168</v>
      </c>
      <c r="AR216">
        <v>5</v>
      </c>
      <c r="AS216">
        <v>0</v>
      </c>
      <c r="AT216" t="str">
        <v>Email</v>
      </c>
      <c r="AU216">
        <v>1333.9</v>
      </c>
    </row>
    <row r="217" spans="1:47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AH217" t="str">
        <v>ORD200988</v>
      </c>
      <c r="AI217">
        <v>45692</v>
      </c>
      <c r="AJ217" t="str">
        <v>C90318</v>
      </c>
      <c r="AK217" t="str">
        <v>Desk</v>
      </c>
      <c r="AL217">
        <v>2</v>
      </c>
      <c r="AM217">
        <v>629.55999999999995</v>
      </c>
      <c r="AN217" t="str">
        <v>818 Main St</v>
      </c>
      <c r="AO217" t="str">
        <v>Gift Card</v>
      </c>
      <c r="AP217" t="str">
        <v>Cancelled</v>
      </c>
      <c r="AQ217" t="str">
        <v>TRK52765043</v>
      </c>
      <c r="AR217">
        <v>5</v>
      </c>
      <c r="AS217" t="str">
        <v>WINTER15</v>
      </c>
      <c r="AT217" t="str">
        <v>Instagram</v>
      </c>
      <c r="AU217">
        <v>1259.1199999999999</v>
      </c>
    </row>
    <row r="218" spans="1:47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AH218" t="str">
        <v>ORD200991</v>
      </c>
      <c r="AI218">
        <v>45421</v>
      </c>
      <c r="AJ218" t="str">
        <v>C10211</v>
      </c>
      <c r="AK218" t="str">
        <v>Desk</v>
      </c>
      <c r="AL218">
        <v>5</v>
      </c>
      <c r="AM218">
        <v>127.18</v>
      </c>
      <c r="AN218" t="str">
        <v>598 Main St</v>
      </c>
      <c r="AO218" t="str">
        <v>Debit Card</v>
      </c>
      <c r="AP218" t="str">
        <v>Cancelled</v>
      </c>
      <c r="AQ218" t="str">
        <v>TRK68938335</v>
      </c>
      <c r="AR218">
        <v>10</v>
      </c>
      <c r="AS218" t="str">
        <v>FREESHIP</v>
      </c>
      <c r="AT218" t="str">
        <v>Google</v>
      </c>
      <c r="AU218">
        <v>635.90000000000009</v>
      </c>
    </row>
    <row r="219" spans="1:47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  <c r="AH219" t="str">
        <v>ORD200998</v>
      </c>
      <c r="AI219">
        <v>45065</v>
      </c>
      <c r="AJ219" t="str">
        <v>C90350</v>
      </c>
      <c r="AK219" t="str">
        <v>Phone</v>
      </c>
      <c r="AL219">
        <v>2</v>
      </c>
      <c r="AM219">
        <v>183.67</v>
      </c>
      <c r="AN219" t="str">
        <v>783 Main St</v>
      </c>
      <c r="AO219" t="str">
        <v>Debit Card</v>
      </c>
      <c r="AP219" t="str">
        <v>Cancelled</v>
      </c>
      <c r="AQ219" t="str">
        <v>TRK22824230</v>
      </c>
      <c r="AR219">
        <v>6</v>
      </c>
      <c r="AS219" t="str">
        <v>SAVE10</v>
      </c>
      <c r="AT219" t="str">
        <v>Google</v>
      </c>
      <c r="AU219">
        <v>367.34</v>
      </c>
    </row>
    <row r="220" spans="1:47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AH220" t="str">
        <v>ORD201010</v>
      </c>
      <c r="AI220">
        <v>45016</v>
      </c>
      <c r="AJ220" t="str">
        <v>C33729</v>
      </c>
      <c r="AK220" t="str">
        <v>Monitor</v>
      </c>
      <c r="AL220">
        <v>3</v>
      </c>
      <c r="AM220">
        <v>659.57</v>
      </c>
      <c r="AN220" t="str">
        <v>533 Main St</v>
      </c>
      <c r="AO220" t="str">
        <v>Credit Card</v>
      </c>
      <c r="AP220" t="str">
        <v>Cancelled</v>
      </c>
      <c r="AQ220" t="str">
        <v>TRK35649833</v>
      </c>
      <c r="AR220">
        <v>6</v>
      </c>
      <c r="AS220" t="str">
        <v>SAVE10</v>
      </c>
      <c r="AT220" t="str">
        <v>Email</v>
      </c>
      <c r="AU220">
        <v>1978.71</v>
      </c>
    </row>
    <row r="221" spans="1:47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AH221" t="str">
        <v>ORD201013</v>
      </c>
      <c r="AI221">
        <v>45773</v>
      </c>
      <c r="AJ221" t="str">
        <v>C91123</v>
      </c>
      <c r="AK221" t="str">
        <v>Laptop</v>
      </c>
      <c r="AL221">
        <v>4</v>
      </c>
      <c r="AM221">
        <v>300.56</v>
      </c>
      <c r="AN221" t="str">
        <v>842 Main St</v>
      </c>
      <c r="AO221" t="str">
        <v>Cash</v>
      </c>
      <c r="AP221" t="str">
        <v>Cancelled</v>
      </c>
      <c r="AQ221" t="str">
        <v>TRK49568409</v>
      </c>
      <c r="AR221">
        <v>9</v>
      </c>
      <c r="AS221" t="str">
        <v>FREESHIP</v>
      </c>
      <c r="AT221" t="str">
        <v>Facebook</v>
      </c>
      <c r="AU221">
        <v>1202.24</v>
      </c>
    </row>
    <row r="222" spans="1:47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AH222" t="str">
        <v>ORD201021</v>
      </c>
      <c r="AI222">
        <v>45222</v>
      </c>
      <c r="AJ222" t="str">
        <v>C74519</v>
      </c>
      <c r="AK222" t="str">
        <v>Phone</v>
      </c>
      <c r="AL222">
        <v>3</v>
      </c>
      <c r="AM222">
        <v>315.27</v>
      </c>
      <c r="AN222" t="str">
        <v>309 Main St</v>
      </c>
      <c r="AO222" t="str">
        <v>Credit Card</v>
      </c>
      <c r="AP222" t="str">
        <v>Cancelled</v>
      </c>
      <c r="AQ222" t="str">
        <v>TRK97351945</v>
      </c>
      <c r="AR222">
        <v>4</v>
      </c>
      <c r="AS222" t="str">
        <v>SAVE10</v>
      </c>
      <c r="AT222" t="str">
        <v>Email</v>
      </c>
      <c r="AU222">
        <v>945.81</v>
      </c>
    </row>
    <row r="223" spans="1:47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AH223" t="str">
        <v>ORD201028</v>
      </c>
      <c r="AI223">
        <v>44974</v>
      </c>
      <c r="AJ223" t="str">
        <v>C60042</v>
      </c>
      <c r="AK223" t="str">
        <v>Desk</v>
      </c>
      <c r="AL223">
        <v>4</v>
      </c>
      <c r="AM223">
        <v>440.31</v>
      </c>
      <c r="AN223" t="str">
        <v>610 Main St</v>
      </c>
      <c r="AO223" t="str">
        <v>Cash</v>
      </c>
      <c r="AP223" t="str">
        <v>Cancelled</v>
      </c>
      <c r="AQ223" t="str">
        <v>TRK84651559</v>
      </c>
      <c r="AR223">
        <v>6</v>
      </c>
      <c r="AS223">
        <v>0</v>
      </c>
      <c r="AT223" t="str">
        <v>Instagram</v>
      </c>
      <c r="AU223">
        <v>1761.24</v>
      </c>
    </row>
    <row r="224" spans="1:47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  <c r="AH224" t="str">
        <v>ORD201034</v>
      </c>
      <c r="AI224">
        <v>45459</v>
      </c>
      <c r="AJ224" t="str">
        <v>C84524</v>
      </c>
      <c r="AK224" t="str">
        <v>Printer</v>
      </c>
      <c r="AL224">
        <v>4</v>
      </c>
      <c r="AM224">
        <v>517.98</v>
      </c>
      <c r="AN224" t="str">
        <v>766 Main St</v>
      </c>
      <c r="AO224" t="str">
        <v>Cash</v>
      </c>
      <c r="AP224" t="str">
        <v>Cancelled</v>
      </c>
      <c r="AQ224" t="str">
        <v>TRK76751888</v>
      </c>
      <c r="AR224">
        <v>8</v>
      </c>
      <c r="AS224" t="str">
        <v>FREESHIP</v>
      </c>
      <c r="AT224" t="str">
        <v>Facebook</v>
      </c>
      <c r="AU224">
        <v>2071.92</v>
      </c>
    </row>
    <row r="225" spans="1:47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AH225" t="str">
        <v>ORD201035</v>
      </c>
      <c r="AI225">
        <v>45242</v>
      </c>
      <c r="AJ225" t="str">
        <v>C70315</v>
      </c>
      <c r="AK225" t="str">
        <v>Laptop</v>
      </c>
      <c r="AL225">
        <v>4</v>
      </c>
      <c r="AM225">
        <v>506.11</v>
      </c>
      <c r="AN225" t="str">
        <v>911 Main St</v>
      </c>
      <c r="AO225" t="str">
        <v>Cash</v>
      </c>
      <c r="AP225" t="str">
        <v>Cancelled</v>
      </c>
      <c r="AQ225" t="str">
        <v>TRK97732085</v>
      </c>
      <c r="AR225">
        <v>5</v>
      </c>
      <c r="AS225">
        <v>0</v>
      </c>
      <c r="AT225" t="str">
        <v>Referral</v>
      </c>
      <c r="AU225">
        <v>2024.44</v>
      </c>
    </row>
    <row r="226" spans="1:47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AH226" t="str">
        <v>ORD201039</v>
      </c>
      <c r="AI226">
        <v>45836</v>
      </c>
      <c r="AJ226" t="str">
        <v>C49137</v>
      </c>
      <c r="AK226" t="str">
        <v>Desk</v>
      </c>
      <c r="AL226">
        <v>2</v>
      </c>
      <c r="AM226">
        <v>299.23</v>
      </c>
      <c r="AN226" t="str">
        <v>177 Main St</v>
      </c>
      <c r="AO226" t="str">
        <v>Credit Card</v>
      </c>
      <c r="AP226" t="str">
        <v>Cancelled</v>
      </c>
      <c r="AQ226" t="str">
        <v>TRK79362428</v>
      </c>
      <c r="AR226">
        <v>2</v>
      </c>
      <c r="AS226" t="str">
        <v>WINTER15</v>
      </c>
      <c r="AT226" t="str">
        <v>Instagram</v>
      </c>
      <c r="AU226">
        <v>598.46</v>
      </c>
    </row>
    <row r="227" spans="1:47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AH227" t="str">
        <v>ORD201062</v>
      </c>
      <c r="AI227">
        <v>45161</v>
      </c>
      <c r="AJ227" t="str">
        <v>C13501</v>
      </c>
      <c r="AK227" t="str">
        <v>Chair</v>
      </c>
      <c r="AL227">
        <v>5</v>
      </c>
      <c r="AM227">
        <v>85.52</v>
      </c>
      <c r="AN227" t="str">
        <v>301 Main St</v>
      </c>
      <c r="AO227" t="str">
        <v>Gift Card</v>
      </c>
      <c r="AP227" t="str">
        <v>Cancelled</v>
      </c>
      <c r="AQ227" t="str">
        <v>TRK65149372</v>
      </c>
      <c r="AR227">
        <v>5</v>
      </c>
      <c r="AS227">
        <v>0</v>
      </c>
      <c r="AT227" t="str">
        <v>Facebook</v>
      </c>
      <c r="AU227">
        <v>427.6</v>
      </c>
    </row>
    <row r="228" spans="1:47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  <c r="AH228" t="str">
        <v>ORD201066</v>
      </c>
      <c r="AI228">
        <v>45280</v>
      </c>
      <c r="AJ228" t="str">
        <v>C10791</v>
      </c>
      <c r="AK228" t="str">
        <v>Desk</v>
      </c>
      <c r="AL228">
        <v>1</v>
      </c>
      <c r="AM228">
        <v>355.09</v>
      </c>
      <c r="AN228" t="str">
        <v>674 Main St</v>
      </c>
      <c r="AO228" t="str">
        <v>Debit Card</v>
      </c>
      <c r="AP228" t="str">
        <v>Cancelled</v>
      </c>
      <c r="AQ228" t="str">
        <v>TRK20321248</v>
      </c>
      <c r="AR228">
        <v>5</v>
      </c>
      <c r="AS228" t="str">
        <v>SAVE10</v>
      </c>
      <c r="AT228" t="str">
        <v>Instagram</v>
      </c>
      <c r="AU228">
        <v>355.09</v>
      </c>
    </row>
    <row r="229" spans="1:47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AH229" t="str">
        <v>ORD201072</v>
      </c>
      <c r="AI229">
        <v>44983</v>
      </c>
      <c r="AJ229" t="str">
        <v>C88644</v>
      </c>
      <c r="AK229" t="str">
        <v>Monitor</v>
      </c>
      <c r="AL229">
        <v>1</v>
      </c>
      <c r="AM229">
        <v>392.61</v>
      </c>
      <c r="AN229" t="str">
        <v>977 Main St</v>
      </c>
      <c r="AO229" t="str">
        <v>Gift Card</v>
      </c>
      <c r="AP229" t="str">
        <v>Cancelled</v>
      </c>
      <c r="AQ229" t="str">
        <v>TRK14900878</v>
      </c>
      <c r="AR229">
        <v>4</v>
      </c>
      <c r="AS229" t="str">
        <v>SAVE10</v>
      </c>
      <c r="AT229" t="str">
        <v>Referral</v>
      </c>
      <c r="AU229">
        <v>392.61</v>
      </c>
    </row>
    <row r="230" spans="1:47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  <c r="AH230" t="str">
        <v>ORD201077</v>
      </c>
      <c r="AI230">
        <v>45723</v>
      </c>
      <c r="AJ230" t="str">
        <v>C57861</v>
      </c>
      <c r="AK230" t="str">
        <v>Printer</v>
      </c>
      <c r="AL230">
        <v>3</v>
      </c>
      <c r="AM230">
        <v>305.16000000000003</v>
      </c>
      <c r="AN230" t="str">
        <v>115 Main St</v>
      </c>
      <c r="AO230" t="str">
        <v>Credit Card</v>
      </c>
      <c r="AP230" t="str">
        <v>Cancelled</v>
      </c>
      <c r="AQ230" t="str">
        <v>TRK47775217</v>
      </c>
      <c r="AR230">
        <v>8</v>
      </c>
      <c r="AS230" t="str">
        <v>SAVE10</v>
      </c>
      <c r="AT230" t="str">
        <v>Referral</v>
      </c>
      <c r="AU230">
        <v>915.48</v>
      </c>
    </row>
    <row r="231" spans="1:47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AH231" t="str">
        <v>ORD201099</v>
      </c>
      <c r="AI231">
        <v>45554</v>
      </c>
      <c r="AJ231" t="str">
        <v>C21953</v>
      </c>
      <c r="AK231" t="str">
        <v>Laptop</v>
      </c>
      <c r="AL231">
        <v>2</v>
      </c>
      <c r="AM231">
        <v>125.23</v>
      </c>
      <c r="AN231" t="str">
        <v>272 Main St</v>
      </c>
      <c r="AO231" t="str">
        <v>Cash</v>
      </c>
      <c r="AP231" t="str">
        <v>Cancelled</v>
      </c>
      <c r="AQ231" t="str">
        <v>TRK60774796</v>
      </c>
      <c r="AR231">
        <v>3</v>
      </c>
      <c r="AS231" t="str">
        <v>FREESHIP</v>
      </c>
      <c r="AT231" t="str">
        <v>Email</v>
      </c>
      <c r="AU231">
        <v>250.46</v>
      </c>
    </row>
    <row r="232" spans="1:47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AH232" t="str">
        <v>ORD201100</v>
      </c>
      <c r="AI232">
        <v>45155</v>
      </c>
      <c r="AJ232" t="str">
        <v>C15146</v>
      </c>
      <c r="AK232" t="str">
        <v>Laptop</v>
      </c>
      <c r="AL232">
        <v>5</v>
      </c>
      <c r="AM232">
        <v>38.11</v>
      </c>
      <c r="AN232" t="str">
        <v>428 Main St</v>
      </c>
      <c r="AO232" t="str">
        <v>Debit Card</v>
      </c>
      <c r="AP232" t="str">
        <v>Cancelled</v>
      </c>
      <c r="AQ232" t="str">
        <v>TRK79790530</v>
      </c>
      <c r="AR232">
        <v>6</v>
      </c>
      <c r="AS232" t="str">
        <v>WINTER15</v>
      </c>
      <c r="AT232" t="str">
        <v>Instagram</v>
      </c>
      <c r="AU232">
        <v>190.55</v>
      </c>
    </row>
    <row r="233" spans="1:47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AH233" t="str">
        <v>ORD201105</v>
      </c>
      <c r="AI233">
        <v>45299</v>
      </c>
      <c r="AJ233" t="str">
        <v>C12487</v>
      </c>
      <c r="AK233" t="str">
        <v>Tablet</v>
      </c>
      <c r="AL233">
        <v>3</v>
      </c>
      <c r="AM233">
        <v>475.69</v>
      </c>
      <c r="AN233" t="str">
        <v>884 Main St</v>
      </c>
      <c r="AO233" t="str">
        <v>Gift Card</v>
      </c>
      <c r="AP233" t="str">
        <v>Cancelled</v>
      </c>
      <c r="AQ233" t="str">
        <v>TRK23324770</v>
      </c>
      <c r="AR233">
        <v>3</v>
      </c>
      <c r="AS233" t="str">
        <v>FREESHIP</v>
      </c>
      <c r="AT233" t="str">
        <v>Google</v>
      </c>
      <c r="AU233">
        <v>1427.07</v>
      </c>
    </row>
    <row r="234" spans="1:47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AH234" t="str">
        <v>ORD201106</v>
      </c>
      <c r="AI234">
        <v>44997</v>
      </c>
      <c r="AJ234" t="str">
        <v>C34555</v>
      </c>
      <c r="AK234" t="str">
        <v>Chair</v>
      </c>
      <c r="AL234">
        <v>1</v>
      </c>
      <c r="AM234">
        <v>372.8</v>
      </c>
      <c r="AN234" t="str">
        <v>903 Main St</v>
      </c>
      <c r="AO234" t="str">
        <v>Cash</v>
      </c>
      <c r="AP234" t="str">
        <v>Cancelled</v>
      </c>
      <c r="AQ234" t="str">
        <v>TRK72859458</v>
      </c>
      <c r="AR234">
        <v>6</v>
      </c>
      <c r="AS234" t="str">
        <v>SAVE10</v>
      </c>
      <c r="AT234" t="str">
        <v>Facebook</v>
      </c>
      <c r="AU234">
        <v>372.8</v>
      </c>
    </row>
    <row r="235" spans="1:47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AH235" t="str">
        <v>ORD201107</v>
      </c>
      <c r="AI235">
        <v>45838</v>
      </c>
      <c r="AJ235" t="str">
        <v>C25110</v>
      </c>
      <c r="AK235" t="str">
        <v>Tablet</v>
      </c>
      <c r="AL235">
        <v>2</v>
      </c>
      <c r="AM235">
        <v>63.21</v>
      </c>
      <c r="AN235" t="str">
        <v>282 Main St</v>
      </c>
      <c r="AO235" t="str">
        <v>Online</v>
      </c>
      <c r="AP235" t="str">
        <v>Cancelled</v>
      </c>
      <c r="AQ235" t="str">
        <v>TRK80963328</v>
      </c>
      <c r="AR235">
        <v>4</v>
      </c>
      <c r="AS235" t="str">
        <v>SAVE10</v>
      </c>
      <c r="AT235" t="str">
        <v>Google</v>
      </c>
      <c r="AU235">
        <v>126.42</v>
      </c>
    </row>
    <row r="236" spans="1:47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AH236" t="str">
        <v>ORD201108</v>
      </c>
      <c r="AI236">
        <v>45005</v>
      </c>
      <c r="AJ236" t="str">
        <v>C35136</v>
      </c>
      <c r="AK236" t="str">
        <v>Laptop</v>
      </c>
      <c r="AL236">
        <v>1</v>
      </c>
      <c r="AM236">
        <v>634.94000000000005</v>
      </c>
      <c r="AN236" t="str">
        <v>462 Main St</v>
      </c>
      <c r="AO236" t="str">
        <v>Online</v>
      </c>
      <c r="AP236" t="str">
        <v>Cancelled</v>
      </c>
      <c r="AQ236" t="str">
        <v>TRK49753703</v>
      </c>
      <c r="AR236">
        <v>5</v>
      </c>
      <c r="AS236" t="str">
        <v>WINTER15</v>
      </c>
      <c r="AT236" t="str">
        <v>Instagram</v>
      </c>
      <c r="AU236">
        <v>634.94000000000005</v>
      </c>
    </row>
    <row r="237" spans="1:47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AH237" t="str">
        <v>ORD201111</v>
      </c>
      <c r="AI237">
        <v>45052</v>
      </c>
      <c r="AJ237" t="str">
        <v>C24047</v>
      </c>
      <c r="AK237" t="str">
        <v>Monitor</v>
      </c>
      <c r="AL237">
        <v>4</v>
      </c>
      <c r="AM237">
        <v>234.45</v>
      </c>
      <c r="AN237" t="str">
        <v>362 Main St</v>
      </c>
      <c r="AO237" t="str">
        <v>Online</v>
      </c>
      <c r="AP237" t="str">
        <v>Cancelled</v>
      </c>
      <c r="AQ237" t="str">
        <v>TRK91338580</v>
      </c>
      <c r="AR237">
        <v>9</v>
      </c>
      <c r="AS237" t="str">
        <v>FREESHIP</v>
      </c>
      <c r="AT237" t="str">
        <v>Instagram</v>
      </c>
      <c r="AU237">
        <v>937.8</v>
      </c>
    </row>
    <row r="238" spans="1:47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AH238" t="str">
        <v>ORD201114</v>
      </c>
      <c r="AI238">
        <v>45001</v>
      </c>
      <c r="AJ238" t="str">
        <v>C55164</v>
      </c>
      <c r="AK238" t="str">
        <v>Tablet</v>
      </c>
      <c r="AL238">
        <v>3</v>
      </c>
      <c r="AM238">
        <v>659.88</v>
      </c>
      <c r="AN238" t="str">
        <v>609 Main St</v>
      </c>
      <c r="AO238" t="str">
        <v>Gift Card</v>
      </c>
      <c r="AP238" t="str">
        <v>Cancelled</v>
      </c>
      <c r="AQ238" t="str">
        <v>TRK79610967</v>
      </c>
      <c r="AR238">
        <v>3</v>
      </c>
      <c r="AS238">
        <v>0</v>
      </c>
      <c r="AT238" t="str">
        <v>Google</v>
      </c>
      <c r="AU238">
        <v>1979.64</v>
      </c>
    </row>
    <row r="239" spans="1:47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AH239" t="str">
        <v>ORD201125</v>
      </c>
      <c r="AI239">
        <v>45215</v>
      </c>
      <c r="AJ239" t="str">
        <v>C23555</v>
      </c>
      <c r="AK239" t="str">
        <v>Desk</v>
      </c>
      <c r="AL239">
        <v>4</v>
      </c>
      <c r="AM239">
        <v>408.36</v>
      </c>
      <c r="AN239" t="str">
        <v>156 Main St</v>
      </c>
      <c r="AO239" t="str">
        <v>Gift Card</v>
      </c>
      <c r="AP239" t="str">
        <v>Cancelled</v>
      </c>
      <c r="AQ239" t="str">
        <v>TRK67210247</v>
      </c>
      <c r="AR239">
        <v>4</v>
      </c>
      <c r="AS239" t="str">
        <v>FREESHIP</v>
      </c>
      <c r="AT239" t="str">
        <v>Referral</v>
      </c>
      <c r="AU239">
        <v>1633.44</v>
      </c>
    </row>
    <row r="240" spans="1:47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AH240" t="str">
        <v>ORD201128</v>
      </c>
      <c r="AI240">
        <v>45155</v>
      </c>
      <c r="AJ240" t="str">
        <v>C49198</v>
      </c>
      <c r="AK240" t="str">
        <v>Monitor</v>
      </c>
      <c r="AL240">
        <v>3</v>
      </c>
      <c r="AM240">
        <v>646.79</v>
      </c>
      <c r="AN240" t="str">
        <v>447 Main St</v>
      </c>
      <c r="AO240" t="str">
        <v>Cash</v>
      </c>
      <c r="AP240" t="str">
        <v>Cancelled</v>
      </c>
      <c r="AQ240" t="str">
        <v>TRK10883354</v>
      </c>
      <c r="AR240">
        <v>5</v>
      </c>
      <c r="AS240" t="str">
        <v>WINTER15</v>
      </c>
      <c r="AT240" t="str">
        <v>Google</v>
      </c>
      <c r="AU240">
        <v>1940.37</v>
      </c>
    </row>
    <row r="241" spans="1:47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AH241" t="str">
        <v>ORD201132</v>
      </c>
      <c r="AI241">
        <v>45628</v>
      </c>
      <c r="AJ241" t="str">
        <v>C58858</v>
      </c>
      <c r="AK241" t="str">
        <v>Chair</v>
      </c>
      <c r="AL241">
        <v>2</v>
      </c>
      <c r="AM241">
        <v>337.32</v>
      </c>
      <c r="AN241" t="str">
        <v>948 Main St</v>
      </c>
      <c r="AO241" t="str">
        <v>Credit Card</v>
      </c>
      <c r="AP241" t="str">
        <v>Cancelled</v>
      </c>
      <c r="AQ241" t="str">
        <v>TRK30406357</v>
      </c>
      <c r="AR241">
        <v>4</v>
      </c>
      <c r="AS241" t="str">
        <v>SAVE10</v>
      </c>
      <c r="AT241" t="str">
        <v>Email</v>
      </c>
      <c r="AU241">
        <v>674.64</v>
      </c>
    </row>
    <row r="242" spans="1:47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AH242" t="str">
        <v>ORD201134</v>
      </c>
      <c r="AI242">
        <v>45451</v>
      </c>
      <c r="AJ242" t="str">
        <v>C90993</v>
      </c>
      <c r="AK242" t="str">
        <v>Desk</v>
      </c>
      <c r="AL242">
        <v>4</v>
      </c>
      <c r="AM242">
        <v>38.28</v>
      </c>
      <c r="AN242" t="str">
        <v>950 Main St</v>
      </c>
      <c r="AO242" t="str">
        <v>Debit Card</v>
      </c>
      <c r="AP242" t="str">
        <v>Cancelled</v>
      </c>
      <c r="AQ242" t="str">
        <v>TRK53964711</v>
      </c>
      <c r="AR242">
        <v>4</v>
      </c>
      <c r="AS242" t="str">
        <v>WINTER15</v>
      </c>
      <c r="AT242" t="str">
        <v>Facebook</v>
      </c>
      <c r="AU242">
        <v>153.12</v>
      </c>
    </row>
    <row r="243" spans="1:47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AH243" t="str">
        <v>ORD201139</v>
      </c>
      <c r="AI243">
        <v>45717</v>
      </c>
      <c r="AJ243" t="str">
        <v>C70659</v>
      </c>
      <c r="AK243" t="str">
        <v>Chair</v>
      </c>
      <c r="AL243">
        <v>3</v>
      </c>
      <c r="AM243">
        <v>501.82</v>
      </c>
      <c r="AN243" t="str">
        <v>568 Main St</v>
      </c>
      <c r="AO243" t="str">
        <v>Gift Card</v>
      </c>
      <c r="AP243" t="str">
        <v>Cancelled</v>
      </c>
      <c r="AQ243" t="str">
        <v>TRK28290825</v>
      </c>
      <c r="AR243">
        <v>4</v>
      </c>
      <c r="AS243" t="str">
        <v>FREESHIP</v>
      </c>
      <c r="AT243" t="str">
        <v>Email</v>
      </c>
      <c r="AU243">
        <v>1505.46</v>
      </c>
    </row>
    <row r="244" spans="1:47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AH244" t="str">
        <v>ORD201140</v>
      </c>
      <c r="AI244">
        <v>45467</v>
      </c>
      <c r="AJ244" t="str">
        <v>C49838</v>
      </c>
      <c r="AK244" t="str">
        <v>Printer</v>
      </c>
      <c r="AL244">
        <v>2</v>
      </c>
      <c r="AM244">
        <v>552.83000000000004</v>
      </c>
      <c r="AN244" t="str">
        <v>904 Main St</v>
      </c>
      <c r="AO244" t="str">
        <v>Credit Card</v>
      </c>
      <c r="AP244" t="str">
        <v>Cancelled</v>
      </c>
      <c r="AQ244" t="str">
        <v>TRK38297718</v>
      </c>
      <c r="AR244">
        <v>3</v>
      </c>
      <c r="AS244">
        <v>0</v>
      </c>
      <c r="AT244" t="str">
        <v>Referral</v>
      </c>
      <c r="AU244">
        <v>1105.6600000000001</v>
      </c>
    </row>
    <row r="245" spans="1:47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AH245" t="str">
        <v>ORD201141</v>
      </c>
      <c r="AI245">
        <v>45704</v>
      </c>
      <c r="AJ245" t="str">
        <v>C11998</v>
      </c>
      <c r="AK245" t="str">
        <v>Chair</v>
      </c>
      <c r="AL245">
        <v>3</v>
      </c>
      <c r="AM245">
        <v>498.66</v>
      </c>
      <c r="AN245" t="str">
        <v>382 Main St</v>
      </c>
      <c r="AO245" t="str">
        <v>Cash</v>
      </c>
      <c r="AP245" t="str">
        <v>Cancelled</v>
      </c>
      <c r="AQ245" t="str">
        <v>TRK26707221</v>
      </c>
      <c r="AR245">
        <v>6</v>
      </c>
      <c r="AS245">
        <v>0</v>
      </c>
      <c r="AT245" t="str">
        <v>Email</v>
      </c>
      <c r="AU245">
        <v>1495.98</v>
      </c>
    </row>
    <row r="246" spans="1:47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AH246" t="str">
        <v>ORD201144</v>
      </c>
      <c r="AI246">
        <v>44973</v>
      </c>
      <c r="AJ246" t="str">
        <v>C88463</v>
      </c>
      <c r="AK246" t="str">
        <v>Desk</v>
      </c>
      <c r="AL246">
        <v>5</v>
      </c>
      <c r="AM246">
        <v>507.94</v>
      </c>
      <c r="AN246" t="str">
        <v>292 Main St</v>
      </c>
      <c r="AO246" t="str">
        <v>Online</v>
      </c>
      <c r="AP246" t="str">
        <v>Cancelled</v>
      </c>
      <c r="AQ246" t="str">
        <v>TRK88749996</v>
      </c>
      <c r="AR246">
        <v>9</v>
      </c>
      <c r="AS246">
        <v>0</v>
      </c>
      <c r="AT246" t="str">
        <v>Facebook</v>
      </c>
      <c r="AU246">
        <v>2539.6999999999998</v>
      </c>
    </row>
    <row r="247" spans="1:47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  <c r="AH247" t="str">
        <v>ORD201150</v>
      </c>
      <c r="AI247">
        <v>44977</v>
      </c>
      <c r="AJ247" t="str">
        <v>C17921</v>
      </c>
      <c r="AK247" t="str">
        <v>Desk</v>
      </c>
      <c r="AL247">
        <v>4</v>
      </c>
      <c r="AM247">
        <v>302.64999999999998</v>
      </c>
      <c r="AN247" t="str">
        <v>119 Main St</v>
      </c>
      <c r="AO247" t="str">
        <v>Credit Card</v>
      </c>
      <c r="AP247" t="str">
        <v>Cancelled</v>
      </c>
      <c r="AQ247" t="str">
        <v>TRK79291524</v>
      </c>
      <c r="AR247">
        <v>8</v>
      </c>
      <c r="AS247" t="str">
        <v>SAVE10</v>
      </c>
      <c r="AT247" t="str">
        <v>Referral</v>
      </c>
      <c r="AU247">
        <v>1210.5999999999999</v>
      </c>
    </row>
    <row r="248" spans="1:47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AH248" t="str">
        <v>ORD201151</v>
      </c>
      <c r="AI248">
        <v>44955</v>
      </c>
      <c r="AJ248" t="str">
        <v>C94381</v>
      </c>
      <c r="AK248" t="str">
        <v>Chair</v>
      </c>
      <c r="AL248">
        <v>2</v>
      </c>
      <c r="AM248">
        <v>608.04</v>
      </c>
      <c r="AN248" t="str">
        <v>962 Main St</v>
      </c>
      <c r="AO248" t="str">
        <v>Cash</v>
      </c>
      <c r="AP248" t="str">
        <v>Cancelled</v>
      </c>
      <c r="AQ248" t="str">
        <v>TRK69804304</v>
      </c>
      <c r="AR248">
        <v>4</v>
      </c>
      <c r="AS248">
        <v>0</v>
      </c>
      <c r="AT248" t="str">
        <v>Google</v>
      </c>
      <c r="AU248">
        <v>1216.08</v>
      </c>
    </row>
    <row r="249" spans="1:47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  <c r="AH249" t="str">
        <v>ORD201161</v>
      </c>
      <c r="AI249">
        <v>45215</v>
      </c>
      <c r="AJ249" t="str">
        <v>C32570</v>
      </c>
      <c r="AK249" t="str">
        <v>Phone</v>
      </c>
      <c r="AL249">
        <v>1</v>
      </c>
      <c r="AM249">
        <v>11.39</v>
      </c>
      <c r="AN249" t="str">
        <v>826 Main St</v>
      </c>
      <c r="AO249" t="str">
        <v>Cash</v>
      </c>
      <c r="AP249" t="str">
        <v>Cancelled</v>
      </c>
      <c r="AQ249" t="str">
        <v>TRK35969968</v>
      </c>
      <c r="AR249">
        <v>6</v>
      </c>
      <c r="AS249" t="str">
        <v>WINTER15</v>
      </c>
      <c r="AT249" t="str">
        <v>Email</v>
      </c>
      <c r="AU249">
        <v>11.39</v>
      </c>
    </row>
    <row r="250" spans="1:47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AH250" t="str">
        <v>ORD201169</v>
      </c>
      <c r="AI250">
        <v>45649</v>
      </c>
      <c r="AJ250" t="str">
        <v>C15849</v>
      </c>
      <c r="AK250" t="str">
        <v>Chair</v>
      </c>
      <c r="AL250">
        <v>1</v>
      </c>
      <c r="AM250">
        <v>525.42999999999995</v>
      </c>
      <c r="AN250" t="str">
        <v>643 Main St</v>
      </c>
      <c r="AO250" t="str">
        <v>Cash</v>
      </c>
      <c r="AP250" t="str">
        <v>Cancelled</v>
      </c>
      <c r="AQ250" t="str">
        <v>TRK26794546</v>
      </c>
      <c r="AR250">
        <v>2</v>
      </c>
      <c r="AS250" t="str">
        <v>SAVE10</v>
      </c>
      <c r="AT250" t="str">
        <v>Instagram</v>
      </c>
      <c r="AU250">
        <v>525.42999999999995</v>
      </c>
    </row>
    <row r="251" spans="1:47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AH251" t="str">
        <v>ORD201176</v>
      </c>
      <c r="AI251">
        <v>45151</v>
      </c>
      <c r="AJ251" t="str">
        <v>C39260</v>
      </c>
      <c r="AK251" t="str">
        <v>Tablet</v>
      </c>
      <c r="AL251">
        <v>2</v>
      </c>
      <c r="AM251">
        <v>213.83</v>
      </c>
      <c r="AN251" t="str">
        <v>374 Main St</v>
      </c>
      <c r="AO251" t="str">
        <v>Debit Card</v>
      </c>
      <c r="AP251" t="str">
        <v>Cancelled</v>
      </c>
      <c r="AQ251" t="str">
        <v>TRK55587314</v>
      </c>
      <c r="AR251">
        <v>2</v>
      </c>
      <c r="AS251" t="str">
        <v>WINTER15</v>
      </c>
      <c r="AT251" t="str">
        <v>Email</v>
      </c>
      <c r="AU251">
        <v>427.66</v>
      </c>
    </row>
    <row r="252" spans="1:47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AH252" t="str">
        <v>ORD201178</v>
      </c>
      <c r="AI252">
        <v>45543</v>
      </c>
      <c r="AJ252" t="str">
        <v>C65107</v>
      </c>
      <c r="AK252" t="str">
        <v>Monitor</v>
      </c>
      <c r="AL252">
        <v>1</v>
      </c>
      <c r="AM252">
        <v>70.239999999999995</v>
      </c>
      <c r="AN252" t="str">
        <v>456 Main St</v>
      </c>
      <c r="AO252" t="str">
        <v>Credit Card</v>
      </c>
      <c r="AP252" t="str">
        <v>Cancelled</v>
      </c>
      <c r="AQ252" t="str">
        <v>TRK10261578</v>
      </c>
      <c r="AR252">
        <v>4</v>
      </c>
      <c r="AS252" t="str">
        <v>FREESHIP</v>
      </c>
      <c r="AT252" t="str">
        <v>Google</v>
      </c>
      <c r="AU252">
        <v>70.239999999999995</v>
      </c>
    </row>
    <row r="253" spans="1:47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  <c r="AH253" t="str">
        <v>ORD201179</v>
      </c>
      <c r="AI253">
        <v>44934</v>
      </c>
      <c r="AJ253" t="str">
        <v>C84630</v>
      </c>
      <c r="AK253" t="str">
        <v>Laptop</v>
      </c>
      <c r="AL253">
        <v>5</v>
      </c>
      <c r="AM253">
        <v>518.54999999999995</v>
      </c>
      <c r="AN253" t="str">
        <v>907 Main St</v>
      </c>
      <c r="AO253" t="str">
        <v>Credit Card</v>
      </c>
      <c r="AP253" t="str">
        <v>Cancelled</v>
      </c>
      <c r="AQ253" t="str">
        <v>TRK48054997</v>
      </c>
      <c r="AR253">
        <v>6</v>
      </c>
      <c r="AS253" t="str">
        <v>WINTER15</v>
      </c>
      <c r="AT253" t="str">
        <v>Instagram</v>
      </c>
      <c r="AU253">
        <v>2592.75</v>
      </c>
    </row>
    <row r="254" spans="1:47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AH254" t="str">
        <v>ORD201189</v>
      </c>
      <c r="AI254">
        <v>45521</v>
      </c>
      <c r="AJ254" t="str">
        <v>C96136</v>
      </c>
      <c r="AK254" t="str">
        <v>Tablet</v>
      </c>
      <c r="AL254">
        <v>5</v>
      </c>
      <c r="AM254">
        <v>389.22</v>
      </c>
      <c r="AN254" t="str">
        <v>149 Main St</v>
      </c>
      <c r="AO254" t="str">
        <v>Cash</v>
      </c>
      <c r="AP254" t="str">
        <v>Cancelled</v>
      </c>
      <c r="AQ254" t="str">
        <v>TRK60856682</v>
      </c>
      <c r="AR254">
        <v>7</v>
      </c>
      <c r="AS254">
        <v>0</v>
      </c>
      <c r="AT254" t="str">
        <v>Referral</v>
      </c>
      <c r="AU254">
        <v>1946.1</v>
      </c>
    </row>
    <row r="255" spans="1:47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AH255" t="str">
        <v>ORD201195</v>
      </c>
      <c r="AI255">
        <v>45463</v>
      </c>
      <c r="AJ255" t="str">
        <v>C21126</v>
      </c>
      <c r="AK255" t="str">
        <v>Desk</v>
      </c>
      <c r="AL255">
        <v>1</v>
      </c>
      <c r="AM255">
        <v>107.04</v>
      </c>
      <c r="AN255" t="str">
        <v>392 Main St</v>
      </c>
      <c r="AO255" t="str">
        <v>Credit Card</v>
      </c>
      <c r="AP255" t="str">
        <v>Cancelled</v>
      </c>
      <c r="AQ255" t="str">
        <v>TRK38009181</v>
      </c>
      <c r="AR255">
        <v>6</v>
      </c>
      <c r="AS255" t="str">
        <v>FREESHIP</v>
      </c>
      <c r="AT255" t="str">
        <v>Google</v>
      </c>
      <c r="AU255">
        <v>107.04</v>
      </c>
    </row>
    <row r="256" spans="1:47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  <c r="AH256" t="str">
        <v>ORD201196</v>
      </c>
      <c r="AI256">
        <v>45355</v>
      </c>
      <c r="AJ256" t="str">
        <v>C20095</v>
      </c>
      <c r="AK256" t="str">
        <v>Monitor</v>
      </c>
      <c r="AL256">
        <v>2</v>
      </c>
      <c r="AM256">
        <v>662.53</v>
      </c>
      <c r="AN256" t="str">
        <v>778 Main St</v>
      </c>
      <c r="AO256" t="str">
        <v>Online</v>
      </c>
      <c r="AP256" t="str">
        <v>Cancelled</v>
      </c>
      <c r="AQ256" t="str">
        <v>TRK69207593</v>
      </c>
      <c r="AR256">
        <v>5</v>
      </c>
      <c r="AS256">
        <v>0</v>
      </c>
      <c r="AT256" t="str">
        <v>Facebook</v>
      </c>
      <c r="AU256">
        <v>1325.06</v>
      </c>
    </row>
    <row r="257" spans="1:47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AH257" t="str">
        <v>ORD201198</v>
      </c>
      <c r="AI257">
        <v>45526</v>
      </c>
      <c r="AJ257" t="str">
        <v>C64753</v>
      </c>
      <c r="AK257" t="str">
        <v>Chair</v>
      </c>
      <c r="AL257">
        <v>4</v>
      </c>
      <c r="AM257">
        <v>262.52</v>
      </c>
      <c r="AN257" t="str">
        <v>509 Main St</v>
      </c>
      <c r="AO257" t="str">
        <v>Debit Card</v>
      </c>
      <c r="AP257" t="str">
        <v>Cancelled</v>
      </c>
      <c r="AQ257" t="str">
        <v>TRK71683331</v>
      </c>
      <c r="AR257">
        <v>4</v>
      </c>
      <c r="AS257" t="str">
        <v>WINTER15</v>
      </c>
      <c r="AT257" t="str">
        <v>Instagram</v>
      </c>
      <c r="AU257">
        <v>1050.08</v>
      </c>
    </row>
    <row r="258" spans="1:47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47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47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47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47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47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47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47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47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47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47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47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47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47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47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uma rajput</cp:lastModifiedBy>
  <dcterms:created xsi:type="dcterms:W3CDTF">2025-06-21T13:19:12Z</dcterms:created>
  <dcterms:modified xsi:type="dcterms:W3CDTF">2026-08-13T07:41:27Z</dcterms:modified>
</cp:coreProperties>
</file>